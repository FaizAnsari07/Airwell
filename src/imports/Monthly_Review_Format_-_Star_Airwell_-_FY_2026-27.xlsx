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 FORECAST - AUG 2026" sheetId="1" r:id="rId5"/>
    <sheet state="visible" name="COLLECTION FORECAST - JULY 2026" sheetId="2" r:id="rId6"/>
    <sheet state="visible" name="BOOKING DATA FY 2026" sheetId="3" r:id="rId7"/>
    <sheet state="visible" name="BOOKING PROGRESS" sheetId="4" r:id="rId8"/>
    <sheet state="visible" name="BILLING PROGRESS" sheetId="5" r:id="rId9"/>
    <sheet state="visible" name="ENQUIRY GENERATION PROGRESS" sheetId="6" r:id="rId10"/>
  </sheets>
  <definedNames>
    <definedName hidden="1" localSheetId="0" name="_xlnm._FilterDatabase">'BOOKING FORECAST - AUG 2026'!$A$2:$AD$32</definedName>
    <definedName hidden="1" localSheetId="2" name="_xlnm._FilterDatabase">'BOOKING DATA FY 2026'!$A$1:$AE$59</definedName>
  </definedNames>
  <calcPr/>
</workbook>
</file>

<file path=xl/sharedStrings.xml><?xml version="1.0" encoding="utf-8"?>
<sst xmlns="http://schemas.openxmlformats.org/spreadsheetml/2006/main" count="534" uniqueCount="153">
  <si>
    <t>S.No</t>
  </si>
  <si>
    <t xml:space="preserve">Project Name </t>
  </si>
  <si>
    <t>SE</t>
  </si>
  <si>
    <t>MONTH</t>
  </si>
  <si>
    <t>Forecast</t>
  </si>
  <si>
    <t>Achieved</t>
  </si>
  <si>
    <t>Remarks</t>
  </si>
  <si>
    <t>MONTHLY BOOKING PROGRESS REPORT - FY 2026 - 27</t>
  </si>
  <si>
    <t>Honer Homes Richmont</t>
  </si>
  <si>
    <t>Type of System</t>
  </si>
  <si>
    <t>VRV HP</t>
  </si>
  <si>
    <t>TR</t>
  </si>
  <si>
    <t>Amount (in Lacs)</t>
  </si>
  <si>
    <t>DS</t>
  </si>
  <si>
    <t>HP/ TR</t>
  </si>
  <si>
    <t>Uniworks (ITC BLR)</t>
  </si>
  <si>
    <t>Penguin</t>
  </si>
  <si>
    <t>InnoCraft</t>
  </si>
  <si>
    <t>FF</t>
  </si>
  <si>
    <t>SS Fitness</t>
  </si>
  <si>
    <t>VRV</t>
  </si>
  <si>
    <t>Amaris - Kurra Infra - Basement Ventilation</t>
  </si>
  <si>
    <t>Koncept Ambience</t>
  </si>
  <si>
    <t>RVR</t>
  </si>
  <si>
    <t>Q1</t>
  </si>
  <si>
    <t>T Tec</t>
  </si>
  <si>
    <t>Gamut Projects (Basement Ventilation)</t>
  </si>
  <si>
    <t>Fit Out</t>
  </si>
  <si>
    <t>Balachandra</t>
  </si>
  <si>
    <t>Q2</t>
  </si>
  <si>
    <t>Ramesh (SOM Villas)</t>
  </si>
  <si>
    <t>H1</t>
  </si>
  <si>
    <t>Pragathi RRD</t>
  </si>
  <si>
    <t>Q3</t>
  </si>
  <si>
    <t>Anup Agarwal</t>
  </si>
  <si>
    <t>NTPC</t>
  </si>
  <si>
    <t>Creative Square</t>
  </si>
  <si>
    <t>Q4</t>
  </si>
  <si>
    <t>Leven Holdings</t>
  </si>
  <si>
    <t>H2</t>
  </si>
  <si>
    <t>Anurag (3 Villas)</t>
  </si>
  <si>
    <t>Fortune - Basement Ventilation</t>
  </si>
  <si>
    <t>FY 2026-27</t>
  </si>
  <si>
    <t>Aastha Clubhouse</t>
  </si>
  <si>
    <t>DK Aruna</t>
  </si>
  <si>
    <t>Fairmont (Balance Floors)</t>
  </si>
  <si>
    <t>Stellar</t>
  </si>
  <si>
    <t>Radhika</t>
  </si>
  <si>
    <t>TG (CR)</t>
  </si>
  <si>
    <t>ACH (CR)</t>
  </si>
  <si>
    <t>Fairmont</t>
  </si>
  <si>
    <t>% ACH</t>
  </si>
  <si>
    <t>RR Convention</t>
  </si>
  <si>
    <t>Pragathi</t>
  </si>
  <si>
    <t>Haldi County</t>
  </si>
  <si>
    <t>Gamers Guild</t>
  </si>
  <si>
    <t>Casa Infinite (Qaiyum)</t>
  </si>
  <si>
    <t>11 Holdings</t>
  </si>
  <si>
    <t>Vamsi Banquet</t>
  </si>
  <si>
    <t>Brellin</t>
  </si>
  <si>
    <t>SV</t>
  </si>
  <si>
    <t>Prem Sagar</t>
  </si>
  <si>
    <t>DEEPAK</t>
  </si>
  <si>
    <t>Page Juinor College</t>
  </si>
  <si>
    <t>Pavan + Mahender</t>
  </si>
  <si>
    <t>Vandana Konisetti</t>
  </si>
  <si>
    <t>Chaitanya Reddy</t>
  </si>
  <si>
    <t>Rahul Singhvi / Lalit Chopda</t>
  </si>
  <si>
    <t>Food Square</t>
  </si>
  <si>
    <t>Koti Reddy</t>
  </si>
  <si>
    <t>Kaushik Reddy</t>
  </si>
  <si>
    <t>Uniworks - Premier Energies (Sitarampura) - Canteen + Creche</t>
  </si>
  <si>
    <t>VRV + DX</t>
  </si>
  <si>
    <t>Radhey CH</t>
  </si>
  <si>
    <t>Moonshine</t>
  </si>
  <si>
    <t>MPL</t>
  </si>
  <si>
    <t>Mandeep</t>
  </si>
  <si>
    <t>Nithin E (Furniture Store)</t>
  </si>
  <si>
    <t>SS</t>
  </si>
  <si>
    <t xml:space="preserve">KPC - IIIT </t>
  </si>
  <si>
    <t>Ventilation</t>
  </si>
  <si>
    <t>Dr Rajeev</t>
  </si>
  <si>
    <t>R One Diamond Towers</t>
  </si>
  <si>
    <t>VMax Esolutions</t>
  </si>
  <si>
    <t>Manish Bansal</t>
  </si>
  <si>
    <t>Gitams</t>
  </si>
  <si>
    <t>Malu Platina Club House, Gulburga</t>
  </si>
  <si>
    <t>Bagga</t>
  </si>
  <si>
    <t>LN Reddy (Som Villa)</t>
  </si>
  <si>
    <t>Monin Syrup</t>
  </si>
  <si>
    <t>FAISAL</t>
  </si>
  <si>
    <t>Manoj Jain</t>
  </si>
  <si>
    <t>Fairmont Midtown (3rd Floor)</t>
  </si>
  <si>
    <t>Advance Cu + Ducting</t>
  </si>
  <si>
    <t>Narsimha Reddy</t>
  </si>
  <si>
    <t>Advances</t>
  </si>
  <si>
    <t>Raghuveer (Som Villa)</t>
  </si>
  <si>
    <t>Aivif</t>
  </si>
  <si>
    <t>GM Modular</t>
  </si>
  <si>
    <t>DX</t>
  </si>
  <si>
    <t>Shatan</t>
  </si>
  <si>
    <t>Yachana Agarwal</t>
  </si>
  <si>
    <t>Om Sree Papertek</t>
  </si>
  <si>
    <t>Pravat (My Home Nishada)</t>
  </si>
  <si>
    <t>Akheel Patel</t>
  </si>
  <si>
    <t>VASIQ</t>
  </si>
  <si>
    <t>Sumit Goenka</t>
  </si>
  <si>
    <t>Ram Reddy Nalgonda</t>
  </si>
  <si>
    <t>Ashish (My Home Nishada)</t>
  </si>
  <si>
    <t>Akshit Mantri</t>
  </si>
  <si>
    <t>Vinay NZM</t>
  </si>
  <si>
    <t>TOTAL</t>
  </si>
  <si>
    <t>Ram Bajaj</t>
  </si>
  <si>
    <t>Manepally Jewellers</t>
  </si>
  <si>
    <t>Rajiv (My Home Nishada)</t>
  </si>
  <si>
    <t>Dheeraj Reddy</t>
  </si>
  <si>
    <t>Phani (My Home Nishada)</t>
  </si>
  <si>
    <t>NEW ADVANCE BREAKUP</t>
  </si>
  <si>
    <t>Harinath</t>
  </si>
  <si>
    <t>Som Villa</t>
  </si>
  <si>
    <t>Laxmi Nilayam (ICraft)</t>
  </si>
  <si>
    <t>Rishabh Jain</t>
  </si>
  <si>
    <t>MANOJ</t>
  </si>
  <si>
    <t>SVC Clubhouse</t>
  </si>
  <si>
    <t>Akhil Reddy</t>
  </si>
  <si>
    <t>Payment Pending, under follow up</t>
  </si>
  <si>
    <t>Pranav</t>
  </si>
  <si>
    <t>Cosmoserv</t>
  </si>
  <si>
    <t>Thanuj Club</t>
  </si>
  <si>
    <t>Amt (In Lacs)</t>
  </si>
  <si>
    <t>Green Villa</t>
  </si>
  <si>
    <t>SHEHWAR</t>
  </si>
  <si>
    <t>Granules</t>
  </si>
  <si>
    <t>Uniworks - Premier Energies (Sitarampura) - HR &amp; Security Block</t>
  </si>
  <si>
    <t>Vogue Design</t>
  </si>
  <si>
    <t>Akshit Agarwal</t>
  </si>
  <si>
    <t>Fab Interior</t>
  </si>
  <si>
    <t>KPN Foods</t>
  </si>
  <si>
    <t>Total</t>
  </si>
  <si>
    <t>Somesh</t>
  </si>
  <si>
    <t>Thanuj Club Brewery</t>
  </si>
  <si>
    <t>Linkwell</t>
  </si>
  <si>
    <t>GS Reddy</t>
  </si>
  <si>
    <t>Invest Kadapa</t>
  </si>
  <si>
    <t>Fuerza Monkey Gym</t>
  </si>
  <si>
    <t>Bloq Hotel</t>
  </si>
  <si>
    <t>Praneeth Ixora</t>
  </si>
  <si>
    <t>Advance Copper Piping</t>
  </si>
  <si>
    <t>Sameer Flat</t>
  </si>
  <si>
    <t>Two Apartments</t>
  </si>
  <si>
    <t>Starlite Mall</t>
  </si>
  <si>
    <t>MONTHLY BILLING PROGRESS REPORT - FY 2026 - 27</t>
  </si>
  <si>
    <t>MONTHLY ENQUIRY GENERATION PROGRESS REPORT - FY 2026 - 27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</si>
</sst>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mmmm yyyy"/>
  </numFmts>
  <fonts count="9">
    <font>
      <sz val="10.0"/>
      <color rgb="FF000000"/>
      <name val="Arial"/>
      <scheme val="minor"/>
    </font>
    <font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u/>
      <color theme="1"/>
      <name val="Calibri"/>
    </font>
    <font/>
    <font>
      <b/>
      <color theme="1"/>
      <name val="Calibri"/>
    </font>
    <font>
      <color theme="1"/>
      <name val="Arial"/>
    </font>
    <font>
      <b/>
      <u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readingOrder="0"/>
    </xf>
    <xf borderId="0" fillId="0" fontId="3" numFmtId="0" xfId="0" applyFont="1"/>
    <xf borderId="1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3" fillId="0" fontId="5" numFmtId="0" xfId="0" applyBorder="1" applyFont="1"/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3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1" numFmtId="0" xfId="0" applyBorder="1" applyFill="1" applyFont="1"/>
    <xf borderId="1" fillId="0" fontId="3" numFmtId="164" xfId="0" applyAlignment="1" applyBorder="1" applyFont="1" applyNumberFormat="1">
      <alignment horizontal="center" readingOrder="0" vertical="center"/>
    </xf>
    <xf borderId="2" fillId="0" fontId="1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4" fillId="0" fontId="5" numFmtId="0" xfId="0" applyBorder="1" applyFont="1"/>
    <xf borderId="1" fillId="0" fontId="3" numFmtId="164" xfId="0" applyAlignment="1" applyBorder="1" applyFont="1" applyNumberFormat="1">
      <alignment readingOrder="0" vertical="center"/>
    </xf>
    <xf borderId="0" fillId="0" fontId="3" numFmtId="0" xfId="0" applyAlignment="1" applyFont="1">
      <alignment vertical="center"/>
    </xf>
    <xf borderId="2" fillId="0" fontId="1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vertical="center"/>
    </xf>
    <xf borderId="1" fillId="0" fontId="1" numFmtId="10" xfId="0" applyAlignment="1" applyBorder="1" applyFont="1" applyNumberFormat="1">
      <alignment horizontal="center"/>
    </xf>
    <xf borderId="1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0" xfId="0" applyAlignment="1" applyFont="1">
      <alignment horizontal="left" readingOrder="0"/>
    </xf>
    <xf borderId="0" fillId="0" fontId="6" numFmtId="0" xfId="0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/>
    </xf>
    <xf borderId="1" fillId="0" fontId="6" numFmtId="10" xfId="0" applyAlignment="1" applyBorder="1" applyFont="1" applyNumberFormat="1">
      <alignment horizontal="center"/>
    </xf>
    <xf borderId="1" fillId="0" fontId="6" numFmtId="2" xfId="0" applyAlignment="1" applyBorder="1" applyFont="1" applyNumberFormat="1">
      <alignment horizontal="center"/>
    </xf>
    <xf borderId="0" fillId="0" fontId="6" numFmtId="10" xfId="0" applyAlignment="1" applyFont="1" applyNumberFormat="1">
      <alignment horizontal="center"/>
    </xf>
    <xf borderId="0" fillId="0" fontId="1" numFmtId="2" xfId="0" applyFont="1" applyNumberFormat="1"/>
    <xf borderId="1" fillId="0" fontId="3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1" fillId="2" fontId="7" numFmtId="0" xfId="0" applyAlignment="1" applyBorder="1" applyFill="1" applyFont="1">
      <alignment vertical="bottom"/>
    </xf>
    <xf borderId="2" fillId="2" fontId="1" numFmtId="165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0" fontId="1" numFmtId="10" xfId="0" applyAlignment="1" applyBorder="1" applyFont="1" applyNumberFormat="1">
      <alignment horizontal="center" vertical="bottom"/>
    </xf>
    <xf borderId="0" fillId="0" fontId="7" numFmtId="10" xfId="0" applyAlignment="1" applyFont="1" applyNumberForma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5"/>
    <col customWidth="1" min="2" max="2" width="40.63"/>
    <col customWidth="1" min="3" max="4" width="11.88"/>
    <col customWidth="1" min="5" max="5" width="18.5"/>
    <col customWidth="1" hidden="1" min="6" max="6" width="11.88"/>
    <col customWidth="1" hidden="1" min="7" max="7" width="18.5"/>
    <col customWidth="1" min="8" max="8" width="72.25"/>
    <col customWidth="1" min="9" max="30" width="8.88"/>
  </cols>
  <sheetData>
    <row r="1">
      <c r="A1" s="2"/>
      <c r="B1" s="2"/>
      <c r="C1" s="4"/>
      <c r="D1" s="7" t="s">
        <v>4</v>
      </c>
      <c r="E1" s="11"/>
      <c r="F1" s="7" t="s">
        <v>5</v>
      </c>
      <c r="G1" s="1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2" t="s">
        <v>0</v>
      </c>
      <c r="B2" s="2" t="s">
        <v>1</v>
      </c>
      <c r="C2" s="4" t="s">
        <v>2</v>
      </c>
      <c r="D2" s="4" t="s">
        <v>14</v>
      </c>
      <c r="E2" s="4" t="s">
        <v>12</v>
      </c>
      <c r="F2" s="4" t="s">
        <v>14</v>
      </c>
      <c r="G2" s="4" t="s">
        <v>12</v>
      </c>
      <c r="H2" s="4" t="s">
        <v>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13">
        <v>1.0</v>
      </c>
      <c r="B3" s="19" t="s">
        <v>15</v>
      </c>
      <c r="C3" s="13" t="s">
        <v>13</v>
      </c>
      <c r="D3" s="15"/>
      <c r="E3" s="15">
        <v>60.0</v>
      </c>
      <c r="F3" s="15"/>
      <c r="G3" s="15"/>
      <c r="H3" s="1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13">
        <v>2.0</v>
      </c>
      <c r="B4" s="19" t="s">
        <v>21</v>
      </c>
      <c r="C4" s="13" t="s">
        <v>13</v>
      </c>
      <c r="D4" s="15"/>
      <c r="E4" s="15">
        <v>400.0</v>
      </c>
      <c r="F4" s="15"/>
      <c r="G4" s="15"/>
      <c r="H4" s="1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13">
        <v>3.0</v>
      </c>
      <c r="B5" s="19" t="s">
        <v>22</v>
      </c>
      <c r="C5" s="13" t="s">
        <v>13</v>
      </c>
      <c r="D5" s="15">
        <v>2496.0</v>
      </c>
      <c r="E5" s="15">
        <v>800.0</v>
      </c>
      <c r="F5" s="15"/>
      <c r="G5" s="15"/>
      <c r="H5" s="1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13">
        <v>4.0</v>
      </c>
      <c r="B6" s="19" t="s">
        <v>26</v>
      </c>
      <c r="C6" s="29" t="s">
        <v>13</v>
      </c>
      <c r="D6" s="15"/>
      <c r="E6" s="15">
        <v>100.0</v>
      </c>
      <c r="F6" s="15"/>
      <c r="G6" s="15"/>
      <c r="H6" s="3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13">
        <v>5.0</v>
      </c>
      <c r="B7" s="19" t="s">
        <v>35</v>
      </c>
      <c r="C7" s="13" t="s">
        <v>18</v>
      </c>
      <c r="D7" s="15">
        <v>100.0</v>
      </c>
      <c r="E7" s="15">
        <v>60.0</v>
      </c>
      <c r="F7" s="15"/>
      <c r="G7" s="15"/>
      <c r="H7" s="1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13">
        <v>6.0</v>
      </c>
      <c r="B8" s="19" t="s">
        <v>41</v>
      </c>
      <c r="C8" s="13" t="s">
        <v>18</v>
      </c>
      <c r="D8" s="15"/>
      <c r="E8" s="15">
        <v>250.0</v>
      </c>
      <c r="F8" s="15"/>
      <c r="G8" s="15"/>
      <c r="H8" s="1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13">
        <v>7.0</v>
      </c>
      <c r="B9" s="19" t="s">
        <v>45</v>
      </c>
      <c r="C9" s="29" t="s">
        <v>18</v>
      </c>
      <c r="D9" s="15"/>
      <c r="E9" s="15">
        <v>400.0</v>
      </c>
      <c r="F9" s="15"/>
      <c r="G9" s="15"/>
      <c r="H9" s="1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13">
        <v>8.0</v>
      </c>
      <c r="B10" s="19" t="s">
        <v>52</v>
      </c>
      <c r="C10" s="13" t="s">
        <v>18</v>
      </c>
      <c r="D10" s="15">
        <v>820.0</v>
      </c>
      <c r="E10" s="15">
        <v>465.0</v>
      </c>
      <c r="F10" s="15"/>
      <c r="G10" s="15"/>
      <c r="H10" s="1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13">
        <v>9.0</v>
      </c>
      <c r="B11" s="19" t="s">
        <v>55</v>
      </c>
      <c r="C11" s="29" t="s">
        <v>18</v>
      </c>
      <c r="D11" s="15">
        <v>30.0</v>
      </c>
      <c r="E11" s="15">
        <v>15.0</v>
      </c>
      <c r="F11" s="15"/>
      <c r="G11" s="15"/>
      <c r="H11" s="1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13">
        <v>10.0</v>
      </c>
      <c r="B12" s="19" t="s">
        <v>58</v>
      </c>
      <c r="C12" s="13" t="s">
        <v>18</v>
      </c>
      <c r="D12" s="15">
        <v>140.0</v>
      </c>
      <c r="E12" s="15">
        <v>71.0</v>
      </c>
      <c r="F12" s="15"/>
      <c r="G12" s="15"/>
      <c r="H12" s="1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13">
        <v>11.0</v>
      </c>
      <c r="B13" s="19" t="s">
        <v>65</v>
      </c>
      <c r="C13" s="13" t="s">
        <v>18</v>
      </c>
      <c r="D13" s="15">
        <v>30.0</v>
      </c>
      <c r="E13" s="15">
        <v>24.0</v>
      </c>
      <c r="F13" s="15"/>
      <c r="G13" s="15"/>
      <c r="H13" s="1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13">
        <v>12.0</v>
      </c>
      <c r="B14" s="19" t="s">
        <v>68</v>
      </c>
      <c r="C14" s="13" t="s">
        <v>18</v>
      </c>
      <c r="D14" s="15">
        <v>110.0</v>
      </c>
      <c r="E14" s="15">
        <v>94.3</v>
      </c>
      <c r="F14" s="15"/>
      <c r="G14" s="15"/>
      <c r="H14" s="1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13">
        <v>13.0</v>
      </c>
      <c r="B15" s="19" t="s">
        <v>58</v>
      </c>
      <c r="C15" s="13" t="s">
        <v>18</v>
      </c>
      <c r="D15" s="15">
        <v>140.0</v>
      </c>
      <c r="E15" s="15">
        <v>71.0</v>
      </c>
      <c r="F15" s="15"/>
      <c r="G15" s="15"/>
      <c r="H15" s="1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13">
        <v>14.0</v>
      </c>
      <c r="B16" s="19" t="s">
        <v>74</v>
      </c>
      <c r="C16" s="29" t="s">
        <v>18</v>
      </c>
      <c r="D16" s="15">
        <v>120.0</v>
      </c>
      <c r="E16" s="15">
        <v>100.0</v>
      </c>
      <c r="F16" s="15"/>
      <c r="G16" s="15"/>
      <c r="H16" s="3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13">
        <v>15.0</v>
      </c>
      <c r="B17" s="19" t="s">
        <v>77</v>
      </c>
      <c r="C17" s="13" t="s">
        <v>78</v>
      </c>
      <c r="D17" s="15">
        <v>64.0</v>
      </c>
      <c r="E17" s="15">
        <v>49.0</v>
      </c>
      <c r="F17" s="15"/>
      <c r="G17" s="15"/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13">
        <v>16.0</v>
      </c>
      <c r="B18" s="19" t="s">
        <v>82</v>
      </c>
      <c r="C18" s="13" t="s">
        <v>78</v>
      </c>
      <c r="D18" s="15"/>
      <c r="E18" s="15">
        <v>1000.0</v>
      </c>
      <c r="F18" s="15"/>
      <c r="G18" s="15"/>
      <c r="H18" s="3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13">
        <v>17.0</v>
      </c>
      <c r="B19" s="19" t="s">
        <v>85</v>
      </c>
      <c r="C19" s="13" t="s">
        <v>78</v>
      </c>
      <c r="D19" s="15">
        <v>448.0</v>
      </c>
      <c r="E19" s="15">
        <v>520.0</v>
      </c>
      <c r="F19" s="15"/>
      <c r="G19" s="15"/>
      <c r="H19" s="3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13">
        <v>18.0</v>
      </c>
      <c r="B20" s="19" t="s">
        <v>89</v>
      </c>
      <c r="C20" s="13" t="s">
        <v>60</v>
      </c>
      <c r="D20" s="15">
        <v>80.0</v>
      </c>
      <c r="E20" s="15">
        <v>130.0</v>
      </c>
      <c r="F20" s="15"/>
      <c r="G20" s="15"/>
      <c r="H20" s="1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13">
        <v>19.0</v>
      </c>
      <c r="B21" s="19" t="s">
        <v>94</v>
      </c>
      <c r="C21" s="29" t="s">
        <v>60</v>
      </c>
      <c r="D21" s="15">
        <v>24.0</v>
      </c>
      <c r="E21" s="15">
        <v>19.0</v>
      </c>
      <c r="F21" s="15"/>
      <c r="G21" s="15"/>
      <c r="H21" s="1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13">
        <v>20.0</v>
      </c>
      <c r="B22" s="19" t="s">
        <v>97</v>
      </c>
      <c r="C22" s="13" t="s">
        <v>60</v>
      </c>
      <c r="D22" s="15">
        <v>26.0</v>
      </c>
      <c r="E22" s="15">
        <v>20.0</v>
      </c>
      <c r="F22" s="15"/>
      <c r="G22" s="15"/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13">
        <v>21.0</v>
      </c>
      <c r="B23" s="19" t="s">
        <v>100</v>
      </c>
      <c r="C23" s="13" t="s">
        <v>60</v>
      </c>
      <c r="D23" s="15">
        <v>26.0</v>
      </c>
      <c r="E23" s="15">
        <v>17.5</v>
      </c>
      <c r="F23" s="15"/>
      <c r="G23" s="15"/>
      <c r="H23" s="1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13">
        <v>22.0</v>
      </c>
      <c r="B24" s="19" t="s">
        <v>103</v>
      </c>
      <c r="C24" s="13" t="s">
        <v>60</v>
      </c>
      <c r="D24" s="15">
        <v>14.0</v>
      </c>
      <c r="E24" s="15">
        <v>17.0</v>
      </c>
      <c r="F24" s="15"/>
      <c r="G24" s="15"/>
      <c r="H24" s="3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13">
        <v>23.0</v>
      </c>
      <c r="B25" s="19" t="s">
        <v>106</v>
      </c>
      <c r="C25" s="13" t="s">
        <v>60</v>
      </c>
      <c r="D25" s="15">
        <v>56.0</v>
      </c>
      <c r="E25" s="15">
        <v>32.0</v>
      </c>
      <c r="F25" s="15"/>
      <c r="G25" s="15"/>
      <c r="H25" s="3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13">
        <v>24.0</v>
      </c>
      <c r="B26" s="19" t="s">
        <v>108</v>
      </c>
      <c r="C26" s="13" t="s">
        <v>60</v>
      </c>
      <c r="D26" s="15">
        <v>16.0</v>
      </c>
      <c r="E26" s="15">
        <v>11.0</v>
      </c>
      <c r="F26" s="15"/>
      <c r="G26" s="15"/>
      <c r="H26" s="3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13">
        <v>25.0</v>
      </c>
      <c r="B27" s="19" t="s">
        <v>110</v>
      </c>
      <c r="C27" s="13" t="s">
        <v>60</v>
      </c>
      <c r="D27" s="15">
        <v>28.0</v>
      </c>
      <c r="E27" s="15">
        <v>20.0</v>
      </c>
      <c r="F27" s="15"/>
      <c r="G27" s="15"/>
      <c r="H27" s="3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13">
        <v>26.0</v>
      </c>
      <c r="B28" s="19" t="s">
        <v>113</v>
      </c>
      <c r="C28" s="13" t="s">
        <v>60</v>
      </c>
      <c r="D28" s="15">
        <v>24.0</v>
      </c>
      <c r="E28" s="15">
        <v>17.5</v>
      </c>
      <c r="F28" s="15"/>
      <c r="G28" s="15"/>
      <c r="H28" s="3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13">
        <v>27.0</v>
      </c>
      <c r="B29" s="19" t="s">
        <v>115</v>
      </c>
      <c r="C29" s="13" t="s">
        <v>60</v>
      </c>
      <c r="D29" s="15">
        <v>32.0</v>
      </c>
      <c r="E29" s="15">
        <v>25.0</v>
      </c>
      <c r="F29" s="15"/>
      <c r="G29" s="15"/>
      <c r="H29" s="3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13">
        <v>28.0</v>
      </c>
      <c r="B30" s="19" t="s">
        <v>119</v>
      </c>
      <c r="C30" s="13" t="s">
        <v>60</v>
      </c>
      <c r="D30" s="15">
        <v>20.0</v>
      </c>
      <c r="E30" s="15">
        <v>16.5</v>
      </c>
      <c r="F30" s="15"/>
      <c r="G30" s="15"/>
      <c r="H30" s="3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13">
        <v>29.0</v>
      </c>
      <c r="B31" s="19" t="s">
        <v>121</v>
      </c>
      <c r="C31" s="13" t="s">
        <v>60</v>
      </c>
      <c r="D31" s="15">
        <v>20.0</v>
      </c>
      <c r="E31" s="15">
        <v>15.0</v>
      </c>
      <c r="F31" s="15"/>
      <c r="G31" s="15"/>
      <c r="H31" s="3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9"/>
      <c r="B32" s="9" t="s">
        <v>111</v>
      </c>
      <c r="C32" s="30"/>
      <c r="D32" s="30">
        <f t="shared" ref="D32:E32" si="1">SUM(D3:D31)</f>
        <v>4864</v>
      </c>
      <c r="E32" s="30">
        <f t="shared" si="1"/>
        <v>4819.8</v>
      </c>
      <c r="F32" s="30"/>
      <c r="G32" s="30"/>
      <c r="H32" s="3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42"/>
      <c r="B33" s="42"/>
      <c r="C33" s="43"/>
      <c r="D33" s="43"/>
      <c r="E33" s="43"/>
      <c r="F33" s="43"/>
      <c r="G33" s="43"/>
      <c r="H33" s="43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42"/>
      <c r="B34" s="42"/>
      <c r="C34" s="29" t="s">
        <v>2</v>
      </c>
      <c r="D34" s="30"/>
      <c r="E34" s="29" t="s">
        <v>129</v>
      </c>
      <c r="F34" s="43"/>
      <c r="G34" s="43"/>
      <c r="H34" s="4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42"/>
      <c r="B35" s="42"/>
      <c r="C35" s="29" t="s">
        <v>13</v>
      </c>
      <c r="D35" s="30">
        <f t="shared" ref="D35:D38" si="2">sumif($C$3:$C$31,C35,$D$3:$D$31)</f>
        <v>2496</v>
      </c>
      <c r="E35" s="30">
        <f t="shared" ref="E35:E38" si="3">sumif($C$3:$C$31,C35,$E$3:$E$31)</f>
        <v>1360</v>
      </c>
      <c r="F35" s="43"/>
      <c r="G35" s="43"/>
      <c r="H35" s="4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42"/>
      <c r="B36" s="42"/>
      <c r="C36" s="29" t="s">
        <v>18</v>
      </c>
      <c r="D36" s="30">
        <f t="shared" si="2"/>
        <v>1490</v>
      </c>
      <c r="E36" s="30">
        <f t="shared" si="3"/>
        <v>1550.3</v>
      </c>
      <c r="F36" s="43"/>
      <c r="G36" s="43"/>
      <c r="H36" s="4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42"/>
      <c r="B37" s="42"/>
      <c r="C37" s="29" t="s">
        <v>78</v>
      </c>
      <c r="D37" s="30">
        <f t="shared" si="2"/>
        <v>512</v>
      </c>
      <c r="E37" s="30">
        <f t="shared" si="3"/>
        <v>1569</v>
      </c>
      <c r="F37" s="43"/>
      <c r="G37" s="43"/>
      <c r="H37" s="4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42"/>
      <c r="B38" s="42"/>
      <c r="C38" s="29" t="s">
        <v>60</v>
      </c>
      <c r="D38" s="30">
        <f t="shared" si="2"/>
        <v>366</v>
      </c>
      <c r="E38" s="30">
        <f t="shared" si="3"/>
        <v>340.5</v>
      </c>
      <c r="F38" s="43"/>
      <c r="G38" s="43"/>
      <c r="H38" s="4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42"/>
      <c r="B39" s="42"/>
      <c r="C39" s="29" t="s">
        <v>138</v>
      </c>
      <c r="D39" s="30">
        <f t="shared" ref="D39:E39" si="4">sum(D35:D38)</f>
        <v>4864</v>
      </c>
      <c r="E39" s="30">
        <f t="shared" si="4"/>
        <v>4819.8</v>
      </c>
      <c r="F39" s="43"/>
      <c r="G39" s="43"/>
      <c r="H39" s="4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42"/>
      <c r="B40" s="42"/>
      <c r="C40" s="43"/>
      <c r="D40" s="43"/>
      <c r="E40" s="43"/>
      <c r="F40" s="43"/>
      <c r="G40" s="43"/>
      <c r="H40" s="43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42"/>
      <c r="B41" s="42"/>
      <c r="C41" s="43"/>
      <c r="D41" s="43"/>
      <c r="E41" s="43"/>
      <c r="F41" s="43"/>
      <c r="G41" s="43"/>
      <c r="H41" s="4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42"/>
      <c r="B42" s="42"/>
      <c r="C42" s="43"/>
      <c r="D42" s="43"/>
      <c r="E42" s="43"/>
      <c r="F42" s="43"/>
      <c r="G42" s="43"/>
      <c r="H42" s="4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42"/>
      <c r="B43" s="42"/>
      <c r="C43" s="43"/>
      <c r="D43" s="43"/>
      <c r="E43" s="43"/>
      <c r="F43" s="43"/>
      <c r="G43" s="43"/>
      <c r="H43" s="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42"/>
      <c r="B44" s="42"/>
      <c r="C44" s="43"/>
      <c r="D44" s="43"/>
      <c r="E44" s="43"/>
      <c r="F44" s="43"/>
      <c r="G44" s="43"/>
      <c r="H44" s="43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42"/>
      <c r="B45" s="42"/>
      <c r="C45" s="43"/>
      <c r="D45" s="43"/>
      <c r="E45" s="43"/>
      <c r="F45" s="43"/>
      <c r="G45" s="43"/>
      <c r="H45" s="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42"/>
      <c r="B46" s="42"/>
      <c r="C46" s="43"/>
      <c r="D46" s="43"/>
      <c r="E46" s="43"/>
      <c r="F46" s="43"/>
      <c r="G46" s="43"/>
      <c r="H46" s="43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42"/>
      <c r="B47" s="42"/>
      <c r="C47" s="43"/>
      <c r="D47" s="43"/>
      <c r="E47" s="43"/>
      <c r="F47" s="43"/>
      <c r="G47" s="43"/>
      <c r="H47" s="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42"/>
      <c r="B48" s="42"/>
      <c r="C48" s="43"/>
      <c r="D48" s="43"/>
      <c r="E48" s="43"/>
      <c r="F48" s="43"/>
      <c r="G48" s="43"/>
      <c r="H48" s="43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42"/>
      <c r="B49" s="42"/>
      <c r="C49" s="43"/>
      <c r="D49" s="43"/>
      <c r="E49" s="43"/>
      <c r="F49" s="43"/>
      <c r="G49" s="43"/>
      <c r="H49" s="43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42"/>
      <c r="B50" s="42"/>
      <c r="C50" s="43"/>
      <c r="D50" s="43"/>
      <c r="E50" s="43"/>
      <c r="F50" s="43"/>
      <c r="G50" s="43"/>
      <c r="H50" s="43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42"/>
      <c r="B51" s="42"/>
      <c r="C51" s="43"/>
      <c r="D51" s="43"/>
      <c r="E51" s="43"/>
      <c r="F51" s="43"/>
      <c r="G51" s="43"/>
      <c r="H51" s="43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42"/>
      <c r="B52" s="42"/>
      <c r="C52" s="43"/>
      <c r="D52" s="43"/>
      <c r="E52" s="43"/>
      <c r="F52" s="43"/>
      <c r="G52" s="43"/>
      <c r="H52" s="43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42"/>
      <c r="B53" s="42"/>
      <c r="C53" s="43"/>
      <c r="D53" s="43"/>
      <c r="E53" s="43"/>
      <c r="F53" s="43"/>
      <c r="G53" s="43"/>
      <c r="H53" s="43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42"/>
      <c r="B54" s="42"/>
      <c r="C54" s="43"/>
      <c r="D54" s="43"/>
      <c r="E54" s="43"/>
      <c r="F54" s="43"/>
      <c r="G54" s="43"/>
      <c r="H54" s="4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42"/>
      <c r="B55" s="42"/>
      <c r="C55" s="43"/>
      <c r="D55" s="43"/>
      <c r="E55" s="43"/>
      <c r="F55" s="43"/>
      <c r="G55" s="43"/>
      <c r="H55" s="43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42"/>
      <c r="B56" s="42"/>
      <c r="C56" s="43"/>
      <c r="D56" s="43"/>
      <c r="E56" s="43"/>
      <c r="F56" s="43"/>
      <c r="G56" s="43"/>
      <c r="H56" s="43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42"/>
      <c r="B57" s="42"/>
      <c r="C57" s="43"/>
      <c r="D57" s="43"/>
      <c r="E57" s="43"/>
      <c r="F57" s="43"/>
      <c r="G57" s="43"/>
      <c r="H57" s="43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42"/>
      <c r="B58" s="42"/>
      <c r="C58" s="43"/>
      <c r="D58" s="43"/>
      <c r="E58" s="43"/>
      <c r="F58" s="43"/>
      <c r="G58" s="43"/>
      <c r="H58" s="43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42"/>
      <c r="B59" s="42"/>
      <c r="C59" s="43"/>
      <c r="D59" s="43"/>
      <c r="E59" s="43"/>
      <c r="F59" s="43"/>
      <c r="G59" s="43"/>
      <c r="H59" s="43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42"/>
      <c r="B60" s="42"/>
      <c r="C60" s="43"/>
      <c r="D60" s="43"/>
      <c r="E60" s="43"/>
      <c r="F60" s="43"/>
      <c r="G60" s="43"/>
      <c r="H60" s="43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42"/>
      <c r="B61" s="42"/>
      <c r="C61" s="43"/>
      <c r="D61" s="43"/>
      <c r="E61" s="43"/>
      <c r="F61" s="43"/>
      <c r="G61" s="43"/>
      <c r="H61" s="43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42"/>
      <c r="B62" s="42"/>
      <c r="C62" s="43"/>
      <c r="D62" s="43"/>
      <c r="E62" s="43"/>
      <c r="F62" s="43"/>
      <c r="G62" s="43"/>
      <c r="H62" s="43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42"/>
      <c r="B63" s="42"/>
      <c r="C63" s="43"/>
      <c r="D63" s="43"/>
      <c r="E63" s="43"/>
      <c r="F63" s="43"/>
      <c r="G63" s="43"/>
      <c r="H63" s="43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42"/>
      <c r="B64" s="42"/>
      <c r="C64" s="43"/>
      <c r="D64" s="43"/>
      <c r="E64" s="43"/>
      <c r="F64" s="43"/>
      <c r="G64" s="43"/>
      <c r="H64" s="43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42"/>
      <c r="B65" s="42"/>
      <c r="C65" s="43"/>
      <c r="D65" s="43"/>
      <c r="E65" s="43"/>
      <c r="F65" s="43"/>
      <c r="G65" s="43"/>
      <c r="H65" s="43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42"/>
      <c r="B66" s="42"/>
      <c r="C66" s="43"/>
      <c r="D66" s="43"/>
      <c r="E66" s="43"/>
      <c r="F66" s="43"/>
      <c r="G66" s="43"/>
      <c r="H66" s="43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42"/>
      <c r="B67" s="42"/>
      <c r="C67" s="43"/>
      <c r="D67" s="43"/>
      <c r="E67" s="43"/>
      <c r="F67" s="43"/>
      <c r="G67" s="43"/>
      <c r="H67" s="43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42"/>
      <c r="B68" s="42"/>
      <c r="C68" s="43"/>
      <c r="D68" s="43"/>
      <c r="E68" s="43"/>
      <c r="F68" s="43"/>
      <c r="G68" s="43"/>
      <c r="H68" s="43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42"/>
      <c r="B69" s="42"/>
      <c r="C69" s="43"/>
      <c r="D69" s="43"/>
      <c r="E69" s="43"/>
      <c r="F69" s="43"/>
      <c r="G69" s="43"/>
      <c r="H69" s="4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42"/>
      <c r="B70" s="42"/>
      <c r="C70" s="43"/>
      <c r="D70" s="43"/>
      <c r="E70" s="43"/>
      <c r="F70" s="43"/>
      <c r="G70" s="43"/>
      <c r="H70" s="4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42"/>
      <c r="B71" s="42"/>
      <c r="C71" s="43"/>
      <c r="D71" s="43"/>
      <c r="E71" s="43"/>
      <c r="F71" s="43"/>
      <c r="G71" s="43"/>
      <c r="H71" s="4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42"/>
      <c r="B72" s="42"/>
      <c r="C72" s="43"/>
      <c r="D72" s="43"/>
      <c r="E72" s="43"/>
      <c r="F72" s="43"/>
      <c r="G72" s="43"/>
      <c r="H72" s="4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42"/>
      <c r="B73" s="42"/>
      <c r="C73" s="43"/>
      <c r="D73" s="43"/>
      <c r="E73" s="43"/>
      <c r="F73" s="43"/>
      <c r="G73" s="43"/>
      <c r="H73" s="4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42"/>
      <c r="B74" s="42"/>
      <c r="C74" s="43"/>
      <c r="D74" s="43"/>
      <c r="E74" s="43"/>
      <c r="F74" s="43"/>
      <c r="G74" s="43"/>
      <c r="H74" s="43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42"/>
      <c r="B75" s="42"/>
      <c r="C75" s="43"/>
      <c r="D75" s="43"/>
      <c r="E75" s="43"/>
      <c r="F75" s="43"/>
      <c r="G75" s="43"/>
      <c r="H75" s="4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42"/>
      <c r="B76" s="42"/>
      <c r="C76" s="43"/>
      <c r="D76" s="43"/>
      <c r="E76" s="43"/>
      <c r="F76" s="43"/>
      <c r="G76" s="43"/>
      <c r="H76" s="4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42"/>
      <c r="B77" s="42"/>
      <c r="C77" s="43"/>
      <c r="D77" s="43"/>
      <c r="E77" s="43"/>
      <c r="F77" s="43"/>
      <c r="G77" s="43"/>
      <c r="H77" s="4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42"/>
      <c r="B78" s="42"/>
      <c r="C78" s="43"/>
      <c r="D78" s="43"/>
      <c r="E78" s="43"/>
      <c r="F78" s="43"/>
      <c r="G78" s="43"/>
      <c r="H78" s="4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42"/>
      <c r="B79" s="42"/>
      <c r="C79" s="43"/>
      <c r="D79" s="43"/>
      <c r="E79" s="43"/>
      <c r="F79" s="43"/>
      <c r="G79" s="43"/>
      <c r="H79" s="4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42"/>
      <c r="B80" s="42"/>
      <c r="C80" s="43"/>
      <c r="D80" s="43"/>
      <c r="E80" s="43"/>
      <c r="F80" s="43"/>
      <c r="G80" s="43"/>
      <c r="H80" s="4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42"/>
      <c r="B81" s="42"/>
      <c r="C81" s="43"/>
      <c r="D81" s="43"/>
      <c r="E81" s="43"/>
      <c r="F81" s="43"/>
      <c r="G81" s="43"/>
      <c r="H81" s="4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42"/>
      <c r="B82" s="42"/>
      <c r="C82" s="43"/>
      <c r="D82" s="43"/>
      <c r="E82" s="43"/>
      <c r="F82" s="43"/>
      <c r="G82" s="43"/>
      <c r="H82" s="4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42"/>
      <c r="B83" s="42"/>
      <c r="C83" s="43"/>
      <c r="D83" s="43"/>
      <c r="E83" s="43"/>
      <c r="F83" s="43"/>
      <c r="G83" s="43"/>
      <c r="H83" s="4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42"/>
      <c r="B84" s="42"/>
      <c r="C84" s="43"/>
      <c r="D84" s="43"/>
      <c r="E84" s="43"/>
      <c r="F84" s="43"/>
      <c r="G84" s="43"/>
      <c r="H84" s="4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42"/>
      <c r="B85" s="42"/>
      <c r="C85" s="43"/>
      <c r="D85" s="43"/>
      <c r="E85" s="43"/>
      <c r="F85" s="43"/>
      <c r="G85" s="43"/>
      <c r="H85" s="4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42"/>
      <c r="B86" s="42"/>
      <c r="C86" s="43"/>
      <c r="D86" s="43"/>
      <c r="E86" s="43"/>
      <c r="F86" s="43"/>
      <c r="G86" s="43"/>
      <c r="H86" s="4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42"/>
      <c r="B87" s="42"/>
      <c r="C87" s="43"/>
      <c r="D87" s="43"/>
      <c r="E87" s="43"/>
      <c r="F87" s="43"/>
      <c r="G87" s="43"/>
      <c r="H87" s="4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42"/>
      <c r="B88" s="42"/>
      <c r="C88" s="43"/>
      <c r="D88" s="43"/>
      <c r="E88" s="43"/>
      <c r="F88" s="43"/>
      <c r="G88" s="43"/>
      <c r="H88" s="4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42"/>
      <c r="B89" s="42"/>
      <c r="C89" s="43"/>
      <c r="D89" s="43"/>
      <c r="E89" s="43"/>
      <c r="F89" s="43"/>
      <c r="G89" s="43"/>
      <c r="H89" s="4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42"/>
      <c r="B90" s="42"/>
      <c r="C90" s="43"/>
      <c r="D90" s="43"/>
      <c r="E90" s="43"/>
      <c r="F90" s="43"/>
      <c r="G90" s="43"/>
      <c r="H90" s="4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42"/>
      <c r="B91" s="42"/>
      <c r="C91" s="43"/>
      <c r="D91" s="43"/>
      <c r="E91" s="43"/>
      <c r="F91" s="43"/>
      <c r="G91" s="43"/>
      <c r="H91" s="4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42"/>
      <c r="B92" s="42"/>
      <c r="C92" s="43"/>
      <c r="D92" s="43"/>
      <c r="E92" s="43"/>
      <c r="F92" s="43"/>
      <c r="G92" s="43"/>
      <c r="H92" s="4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42"/>
      <c r="B93" s="42"/>
      <c r="C93" s="43"/>
      <c r="D93" s="43"/>
      <c r="E93" s="43"/>
      <c r="F93" s="43"/>
      <c r="G93" s="43"/>
      <c r="H93" s="4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42"/>
      <c r="B94" s="42"/>
      <c r="C94" s="43"/>
      <c r="D94" s="43"/>
      <c r="E94" s="43"/>
      <c r="F94" s="43"/>
      <c r="G94" s="43"/>
      <c r="H94" s="4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42"/>
      <c r="B95" s="42"/>
      <c r="C95" s="43"/>
      <c r="D95" s="43"/>
      <c r="E95" s="43"/>
      <c r="F95" s="43"/>
      <c r="G95" s="43"/>
      <c r="H95" s="4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42"/>
      <c r="B96" s="42"/>
      <c r="C96" s="43"/>
      <c r="D96" s="43"/>
      <c r="E96" s="43"/>
      <c r="F96" s="43"/>
      <c r="G96" s="43"/>
      <c r="H96" s="4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42"/>
      <c r="B97" s="42"/>
      <c r="C97" s="43"/>
      <c r="D97" s="43"/>
      <c r="E97" s="43"/>
      <c r="F97" s="43"/>
      <c r="G97" s="43"/>
      <c r="H97" s="4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42"/>
      <c r="B98" s="42"/>
      <c r="C98" s="43"/>
      <c r="D98" s="43"/>
      <c r="E98" s="43"/>
      <c r="F98" s="43"/>
      <c r="G98" s="43"/>
      <c r="H98" s="4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42"/>
      <c r="B99" s="42"/>
      <c r="C99" s="43"/>
      <c r="D99" s="43"/>
      <c r="E99" s="43"/>
      <c r="F99" s="43"/>
      <c r="G99" s="43"/>
      <c r="H99" s="4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42"/>
      <c r="B100" s="42"/>
      <c r="C100" s="43"/>
      <c r="D100" s="43"/>
      <c r="E100" s="43"/>
      <c r="F100" s="43"/>
      <c r="G100" s="43"/>
      <c r="H100" s="4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42"/>
      <c r="B101" s="42"/>
      <c r="C101" s="43"/>
      <c r="D101" s="43"/>
      <c r="E101" s="43"/>
      <c r="F101" s="43"/>
      <c r="G101" s="43"/>
      <c r="H101" s="43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42"/>
      <c r="B102" s="42"/>
      <c r="C102" s="43"/>
      <c r="D102" s="43"/>
      <c r="E102" s="43"/>
      <c r="F102" s="43"/>
      <c r="G102" s="43"/>
      <c r="H102" s="43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42"/>
      <c r="B103" s="42"/>
      <c r="C103" s="43"/>
      <c r="D103" s="43"/>
      <c r="E103" s="43"/>
      <c r="F103" s="43"/>
      <c r="G103" s="43"/>
      <c r="H103" s="43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42"/>
      <c r="B104" s="42"/>
      <c r="C104" s="43"/>
      <c r="D104" s="43"/>
      <c r="E104" s="43"/>
      <c r="F104" s="43"/>
      <c r="G104" s="43"/>
      <c r="H104" s="43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42"/>
      <c r="B105" s="42"/>
      <c r="C105" s="43"/>
      <c r="D105" s="43"/>
      <c r="E105" s="43"/>
      <c r="F105" s="43"/>
      <c r="G105" s="43"/>
      <c r="H105" s="43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42"/>
      <c r="B106" s="42"/>
      <c r="C106" s="43"/>
      <c r="D106" s="43"/>
      <c r="E106" s="43"/>
      <c r="F106" s="43"/>
      <c r="G106" s="43"/>
      <c r="H106" s="43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42"/>
      <c r="B107" s="42"/>
      <c r="C107" s="43"/>
      <c r="D107" s="43"/>
      <c r="E107" s="43"/>
      <c r="F107" s="43"/>
      <c r="G107" s="43"/>
      <c r="H107" s="43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42"/>
      <c r="B108" s="42"/>
      <c r="C108" s="43"/>
      <c r="D108" s="43"/>
      <c r="E108" s="43"/>
      <c r="F108" s="43"/>
      <c r="G108" s="43"/>
      <c r="H108" s="43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42"/>
      <c r="B109" s="42"/>
      <c r="C109" s="43"/>
      <c r="D109" s="43"/>
      <c r="E109" s="43"/>
      <c r="F109" s="43"/>
      <c r="G109" s="43"/>
      <c r="H109" s="43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42"/>
      <c r="B110" s="42"/>
      <c r="C110" s="43"/>
      <c r="D110" s="43"/>
      <c r="E110" s="43"/>
      <c r="F110" s="43"/>
      <c r="G110" s="43"/>
      <c r="H110" s="43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42"/>
      <c r="B111" s="42"/>
      <c r="C111" s="43"/>
      <c r="D111" s="43"/>
      <c r="E111" s="43"/>
      <c r="F111" s="43"/>
      <c r="G111" s="43"/>
      <c r="H111" s="43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42"/>
      <c r="B112" s="42"/>
      <c r="C112" s="43"/>
      <c r="D112" s="43"/>
      <c r="E112" s="43"/>
      <c r="F112" s="43"/>
      <c r="G112" s="43"/>
      <c r="H112" s="43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42"/>
      <c r="B113" s="42"/>
      <c r="C113" s="43"/>
      <c r="D113" s="43"/>
      <c r="E113" s="43"/>
      <c r="F113" s="43"/>
      <c r="G113" s="43"/>
      <c r="H113" s="43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42"/>
      <c r="B114" s="42"/>
      <c r="C114" s="43"/>
      <c r="D114" s="43"/>
      <c r="E114" s="43"/>
      <c r="F114" s="43"/>
      <c r="G114" s="43"/>
      <c r="H114" s="43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42"/>
      <c r="B115" s="42"/>
      <c r="C115" s="43"/>
      <c r="D115" s="43"/>
      <c r="E115" s="43"/>
      <c r="F115" s="43"/>
      <c r="G115" s="43"/>
      <c r="H115" s="43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42"/>
      <c r="B116" s="42"/>
      <c r="C116" s="43"/>
      <c r="D116" s="43"/>
      <c r="E116" s="43"/>
      <c r="F116" s="43"/>
      <c r="G116" s="43"/>
      <c r="H116" s="43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42"/>
      <c r="B117" s="42"/>
      <c r="C117" s="43"/>
      <c r="D117" s="43"/>
      <c r="E117" s="43"/>
      <c r="F117" s="43"/>
      <c r="G117" s="43"/>
      <c r="H117" s="43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42"/>
      <c r="B118" s="42"/>
      <c r="C118" s="43"/>
      <c r="D118" s="43"/>
      <c r="E118" s="43"/>
      <c r="F118" s="43"/>
      <c r="G118" s="43"/>
      <c r="H118" s="43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42"/>
      <c r="B119" s="42"/>
      <c r="C119" s="43"/>
      <c r="D119" s="43"/>
      <c r="E119" s="43"/>
      <c r="F119" s="43"/>
      <c r="G119" s="43"/>
      <c r="H119" s="4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42"/>
      <c r="B120" s="42"/>
      <c r="C120" s="43"/>
      <c r="D120" s="43"/>
      <c r="E120" s="43"/>
      <c r="F120" s="43"/>
      <c r="G120" s="43"/>
      <c r="H120" s="4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42"/>
      <c r="B121" s="42"/>
      <c r="C121" s="43"/>
      <c r="D121" s="43"/>
      <c r="E121" s="43"/>
      <c r="F121" s="43"/>
      <c r="G121" s="43"/>
      <c r="H121" s="43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42"/>
      <c r="B122" s="42"/>
      <c r="C122" s="43"/>
      <c r="D122" s="43"/>
      <c r="E122" s="43"/>
      <c r="F122" s="43"/>
      <c r="G122" s="43"/>
      <c r="H122" s="43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42"/>
      <c r="B123" s="42"/>
      <c r="C123" s="43"/>
      <c r="D123" s="43"/>
      <c r="E123" s="43"/>
      <c r="F123" s="43"/>
      <c r="G123" s="43"/>
      <c r="H123" s="4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42"/>
      <c r="B124" s="42"/>
      <c r="C124" s="43"/>
      <c r="D124" s="43"/>
      <c r="E124" s="43"/>
      <c r="F124" s="43"/>
      <c r="G124" s="43"/>
      <c r="H124" s="43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42"/>
      <c r="B125" s="42"/>
      <c r="C125" s="43"/>
      <c r="D125" s="43"/>
      <c r="E125" s="43"/>
      <c r="F125" s="43"/>
      <c r="G125" s="43"/>
      <c r="H125" s="43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42"/>
      <c r="B126" s="42"/>
      <c r="C126" s="43"/>
      <c r="D126" s="43"/>
      <c r="E126" s="43"/>
      <c r="F126" s="43"/>
      <c r="G126" s="43"/>
      <c r="H126" s="43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42"/>
      <c r="B127" s="42"/>
      <c r="C127" s="43"/>
      <c r="D127" s="43"/>
      <c r="E127" s="43"/>
      <c r="F127" s="43"/>
      <c r="G127" s="43"/>
      <c r="H127" s="43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42"/>
      <c r="B128" s="42"/>
      <c r="C128" s="43"/>
      <c r="D128" s="43"/>
      <c r="E128" s="43"/>
      <c r="F128" s="43"/>
      <c r="G128" s="43"/>
      <c r="H128" s="43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42"/>
      <c r="B129" s="42"/>
      <c r="C129" s="43"/>
      <c r="D129" s="43"/>
      <c r="E129" s="43"/>
      <c r="F129" s="43"/>
      <c r="G129" s="43"/>
      <c r="H129" s="43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42"/>
      <c r="B130" s="42"/>
      <c r="C130" s="43"/>
      <c r="D130" s="43"/>
      <c r="E130" s="43"/>
      <c r="F130" s="43"/>
      <c r="G130" s="43"/>
      <c r="H130" s="43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42"/>
      <c r="B131" s="42"/>
      <c r="C131" s="43"/>
      <c r="D131" s="43"/>
      <c r="E131" s="43"/>
      <c r="F131" s="43"/>
      <c r="G131" s="43"/>
      <c r="H131" s="43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42"/>
      <c r="B132" s="42"/>
      <c r="C132" s="43"/>
      <c r="D132" s="43"/>
      <c r="E132" s="43"/>
      <c r="F132" s="43"/>
      <c r="G132" s="43"/>
      <c r="H132" s="43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42"/>
      <c r="B133" s="42"/>
      <c r="C133" s="43"/>
      <c r="D133" s="43"/>
      <c r="E133" s="43"/>
      <c r="F133" s="43"/>
      <c r="G133" s="43"/>
      <c r="H133" s="43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42"/>
      <c r="B134" s="42"/>
      <c r="C134" s="43"/>
      <c r="D134" s="43"/>
      <c r="E134" s="43"/>
      <c r="F134" s="43"/>
      <c r="G134" s="43"/>
      <c r="H134" s="43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42"/>
      <c r="B135" s="42"/>
      <c r="C135" s="43"/>
      <c r="D135" s="43"/>
      <c r="E135" s="43"/>
      <c r="F135" s="43"/>
      <c r="G135" s="43"/>
      <c r="H135" s="43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42"/>
      <c r="B136" s="42"/>
      <c r="C136" s="43"/>
      <c r="D136" s="43"/>
      <c r="E136" s="43"/>
      <c r="F136" s="43"/>
      <c r="G136" s="43"/>
      <c r="H136" s="43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42"/>
      <c r="B137" s="42"/>
      <c r="C137" s="43"/>
      <c r="D137" s="43"/>
      <c r="E137" s="43"/>
      <c r="F137" s="43"/>
      <c r="G137" s="43"/>
      <c r="H137" s="43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42"/>
      <c r="B138" s="42"/>
      <c r="C138" s="43"/>
      <c r="D138" s="43"/>
      <c r="E138" s="43"/>
      <c r="F138" s="43"/>
      <c r="G138" s="43"/>
      <c r="H138" s="43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42"/>
      <c r="B139" s="42"/>
      <c r="C139" s="43"/>
      <c r="D139" s="43"/>
      <c r="E139" s="43"/>
      <c r="F139" s="43"/>
      <c r="G139" s="43"/>
      <c r="H139" s="43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42"/>
      <c r="B140" s="42"/>
      <c r="C140" s="43"/>
      <c r="D140" s="43"/>
      <c r="E140" s="43"/>
      <c r="F140" s="43"/>
      <c r="G140" s="43"/>
      <c r="H140" s="43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42"/>
      <c r="B141" s="42"/>
      <c r="C141" s="43"/>
      <c r="D141" s="43"/>
      <c r="E141" s="43"/>
      <c r="F141" s="43"/>
      <c r="G141" s="43"/>
      <c r="H141" s="43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42"/>
      <c r="B142" s="42"/>
      <c r="C142" s="43"/>
      <c r="D142" s="43"/>
      <c r="E142" s="43"/>
      <c r="F142" s="43"/>
      <c r="G142" s="43"/>
      <c r="H142" s="43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42"/>
      <c r="B143" s="42"/>
      <c r="C143" s="43"/>
      <c r="D143" s="43"/>
      <c r="E143" s="43"/>
      <c r="F143" s="43"/>
      <c r="G143" s="43"/>
      <c r="H143" s="43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42"/>
      <c r="B144" s="42"/>
      <c r="C144" s="43"/>
      <c r="D144" s="43"/>
      <c r="E144" s="43"/>
      <c r="F144" s="43"/>
      <c r="G144" s="43"/>
      <c r="H144" s="43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42"/>
      <c r="B145" s="42"/>
      <c r="C145" s="43"/>
      <c r="D145" s="43"/>
      <c r="E145" s="43"/>
      <c r="F145" s="43"/>
      <c r="G145" s="43"/>
      <c r="H145" s="43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42"/>
      <c r="B146" s="42"/>
      <c r="C146" s="43"/>
      <c r="D146" s="43"/>
      <c r="E146" s="43"/>
      <c r="F146" s="43"/>
      <c r="G146" s="43"/>
      <c r="H146" s="43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42"/>
      <c r="B147" s="42"/>
      <c r="C147" s="43"/>
      <c r="D147" s="43"/>
      <c r="E147" s="43"/>
      <c r="F147" s="43"/>
      <c r="G147" s="43"/>
      <c r="H147" s="43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42"/>
      <c r="B148" s="42"/>
      <c r="C148" s="43"/>
      <c r="D148" s="43"/>
      <c r="E148" s="43"/>
      <c r="F148" s="43"/>
      <c r="G148" s="43"/>
      <c r="H148" s="43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42"/>
      <c r="B149" s="42"/>
      <c r="C149" s="43"/>
      <c r="D149" s="43"/>
      <c r="E149" s="43"/>
      <c r="F149" s="43"/>
      <c r="G149" s="43"/>
      <c r="H149" s="43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42"/>
      <c r="B150" s="42"/>
      <c r="C150" s="43"/>
      <c r="D150" s="43"/>
      <c r="E150" s="43"/>
      <c r="F150" s="43"/>
      <c r="G150" s="43"/>
      <c r="H150" s="43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42"/>
      <c r="B151" s="42"/>
      <c r="C151" s="43"/>
      <c r="D151" s="43"/>
      <c r="E151" s="43"/>
      <c r="F151" s="43"/>
      <c r="G151" s="43"/>
      <c r="H151" s="43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42"/>
      <c r="B152" s="42"/>
      <c r="C152" s="43"/>
      <c r="D152" s="43"/>
      <c r="E152" s="43"/>
      <c r="F152" s="43"/>
      <c r="G152" s="43"/>
      <c r="H152" s="43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42"/>
      <c r="B153" s="42"/>
      <c r="C153" s="43"/>
      <c r="D153" s="43"/>
      <c r="E153" s="43"/>
      <c r="F153" s="43"/>
      <c r="G153" s="43"/>
      <c r="H153" s="43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42"/>
      <c r="B154" s="42"/>
      <c r="C154" s="43"/>
      <c r="D154" s="43"/>
      <c r="E154" s="43"/>
      <c r="F154" s="43"/>
      <c r="G154" s="43"/>
      <c r="H154" s="43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42"/>
      <c r="B155" s="42"/>
      <c r="C155" s="43"/>
      <c r="D155" s="43"/>
      <c r="E155" s="43"/>
      <c r="F155" s="43"/>
      <c r="G155" s="43"/>
      <c r="H155" s="43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42"/>
      <c r="B156" s="42"/>
      <c r="C156" s="43"/>
      <c r="D156" s="43"/>
      <c r="E156" s="43"/>
      <c r="F156" s="43"/>
      <c r="G156" s="43"/>
      <c r="H156" s="43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42"/>
      <c r="B157" s="42"/>
      <c r="C157" s="43"/>
      <c r="D157" s="43"/>
      <c r="E157" s="43"/>
      <c r="F157" s="43"/>
      <c r="G157" s="43"/>
      <c r="H157" s="43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42"/>
      <c r="B158" s="42"/>
      <c r="C158" s="43"/>
      <c r="D158" s="43"/>
      <c r="E158" s="43"/>
      <c r="F158" s="43"/>
      <c r="G158" s="43"/>
      <c r="H158" s="43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42"/>
      <c r="B159" s="42"/>
      <c r="C159" s="43"/>
      <c r="D159" s="43"/>
      <c r="E159" s="43"/>
      <c r="F159" s="43"/>
      <c r="G159" s="43"/>
      <c r="H159" s="43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42"/>
      <c r="B160" s="42"/>
      <c r="C160" s="43"/>
      <c r="D160" s="43"/>
      <c r="E160" s="43"/>
      <c r="F160" s="43"/>
      <c r="G160" s="43"/>
      <c r="H160" s="43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42"/>
      <c r="B161" s="42"/>
      <c r="C161" s="43"/>
      <c r="D161" s="43"/>
      <c r="E161" s="43"/>
      <c r="F161" s="43"/>
      <c r="G161" s="43"/>
      <c r="H161" s="43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42"/>
      <c r="B162" s="42"/>
      <c r="C162" s="43"/>
      <c r="D162" s="43"/>
      <c r="E162" s="43"/>
      <c r="F162" s="43"/>
      <c r="G162" s="43"/>
      <c r="H162" s="43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42"/>
      <c r="B163" s="42"/>
      <c r="C163" s="43"/>
      <c r="D163" s="43"/>
      <c r="E163" s="43"/>
      <c r="F163" s="43"/>
      <c r="G163" s="43"/>
      <c r="H163" s="43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42"/>
      <c r="B164" s="42"/>
      <c r="C164" s="43"/>
      <c r="D164" s="43"/>
      <c r="E164" s="43"/>
      <c r="F164" s="43"/>
      <c r="G164" s="43"/>
      <c r="H164" s="43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42"/>
      <c r="B165" s="42"/>
      <c r="C165" s="43"/>
      <c r="D165" s="43"/>
      <c r="E165" s="43"/>
      <c r="F165" s="43"/>
      <c r="G165" s="43"/>
      <c r="H165" s="43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42"/>
      <c r="B166" s="42"/>
      <c r="C166" s="43"/>
      <c r="D166" s="43"/>
      <c r="E166" s="43"/>
      <c r="F166" s="43"/>
      <c r="G166" s="43"/>
      <c r="H166" s="43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42"/>
      <c r="B167" s="42"/>
      <c r="C167" s="43"/>
      <c r="D167" s="43"/>
      <c r="E167" s="43"/>
      <c r="F167" s="43"/>
      <c r="G167" s="43"/>
      <c r="H167" s="43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42"/>
      <c r="B168" s="42"/>
      <c r="C168" s="43"/>
      <c r="D168" s="43"/>
      <c r="E168" s="43"/>
      <c r="F168" s="43"/>
      <c r="G168" s="43"/>
      <c r="H168" s="43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42"/>
      <c r="B169" s="42"/>
      <c r="C169" s="43"/>
      <c r="D169" s="43"/>
      <c r="E169" s="43"/>
      <c r="F169" s="43"/>
      <c r="G169" s="43"/>
      <c r="H169" s="43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42"/>
      <c r="B170" s="42"/>
      <c r="C170" s="43"/>
      <c r="D170" s="43"/>
      <c r="E170" s="43"/>
      <c r="F170" s="43"/>
      <c r="G170" s="43"/>
      <c r="H170" s="43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42"/>
      <c r="B171" s="42"/>
      <c r="C171" s="43"/>
      <c r="D171" s="43"/>
      <c r="E171" s="43"/>
      <c r="F171" s="43"/>
      <c r="G171" s="43"/>
      <c r="H171" s="43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42"/>
      <c r="B172" s="42"/>
      <c r="C172" s="43"/>
      <c r="D172" s="43"/>
      <c r="E172" s="43"/>
      <c r="F172" s="43"/>
      <c r="G172" s="43"/>
      <c r="H172" s="43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42"/>
      <c r="B173" s="42"/>
      <c r="C173" s="43"/>
      <c r="D173" s="43"/>
      <c r="E173" s="43"/>
      <c r="F173" s="43"/>
      <c r="G173" s="43"/>
      <c r="H173" s="43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42"/>
      <c r="B174" s="42"/>
      <c r="C174" s="43"/>
      <c r="D174" s="43"/>
      <c r="E174" s="43"/>
      <c r="F174" s="43"/>
      <c r="G174" s="43"/>
      <c r="H174" s="43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42"/>
      <c r="B175" s="42"/>
      <c r="C175" s="43"/>
      <c r="D175" s="43"/>
      <c r="E175" s="43"/>
      <c r="F175" s="43"/>
      <c r="G175" s="43"/>
      <c r="H175" s="43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42"/>
      <c r="B176" s="42"/>
      <c r="C176" s="43"/>
      <c r="D176" s="43"/>
      <c r="E176" s="43"/>
      <c r="F176" s="43"/>
      <c r="G176" s="43"/>
      <c r="H176" s="43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42"/>
      <c r="B177" s="42"/>
      <c r="C177" s="43"/>
      <c r="D177" s="43"/>
      <c r="E177" s="43"/>
      <c r="F177" s="43"/>
      <c r="G177" s="43"/>
      <c r="H177" s="43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42"/>
      <c r="B178" s="42"/>
      <c r="C178" s="43"/>
      <c r="D178" s="43"/>
      <c r="E178" s="43"/>
      <c r="F178" s="43"/>
      <c r="G178" s="43"/>
      <c r="H178" s="43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42"/>
      <c r="B179" s="42"/>
      <c r="C179" s="43"/>
      <c r="D179" s="43"/>
      <c r="E179" s="43"/>
      <c r="F179" s="43"/>
      <c r="G179" s="43"/>
      <c r="H179" s="43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42"/>
      <c r="B180" s="42"/>
      <c r="C180" s="43"/>
      <c r="D180" s="43"/>
      <c r="E180" s="43"/>
      <c r="F180" s="43"/>
      <c r="G180" s="43"/>
      <c r="H180" s="43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42"/>
      <c r="B181" s="42"/>
      <c r="C181" s="43"/>
      <c r="D181" s="43"/>
      <c r="E181" s="43"/>
      <c r="F181" s="43"/>
      <c r="G181" s="43"/>
      <c r="H181" s="43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42"/>
      <c r="B182" s="42"/>
      <c r="C182" s="43"/>
      <c r="D182" s="43"/>
      <c r="E182" s="43"/>
      <c r="F182" s="43"/>
      <c r="G182" s="43"/>
      <c r="H182" s="43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42"/>
      <c r="B183" s="42"/>
      <c r="C183" s="43"/>
      <c r="D183" s="43"/>
      <c r="E183" s="43"/>
      <c r="F183" s="43"/>
      <c r="G183" s="43"/>
      <c r="H183" s="43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42"/>
      <c r="B184" s="42"/>
      <c r="C184" s="43"/>
      <c r="D184" s="43"/>
      <c r="E184" s="43"/>
      <c r="F184" s="43"/>
      <c r="G184" s="43"/>
      <c r="H184" s="43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42"/>
      <c r="B185" s="42"/>
      <c r="C185" s="43"/>
      <c r="D185" s="43"/>
      <c r="E185" s="43"/>
      <c r="F185" s="43"/>
      <c r="G185" s="43"/>
      <c r="H185" s="43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42"/>
      <c r="B186" s="42"/>
      <c r="C186" s="43"/>
      <c r="D186" s="43"/>
      <c r="E186" s="43"/>
      <c r="F186" s="43"/>
      <c r="G186" s="43"/>
      <c r="H186" s="43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42"/>
      <c r="B187" s="42"/>
      <c r="C187" s="43"/>
      <c r="D187" s="43"/>
      <c r="E187" s="43"/>
      <c r="F187" s="43"/>
      <c r="G187" s="43"/>
      <c r="H187" s="43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42"/>
      <c r="B188" s="42"/>
      <c r="C188" s="43"/>
      <c r="D188" s="43"/>
      <c r="E188" s="43"/>
      <c r="F188" s="43"/>
      <c r="G188" s="43"/>
      <c r="H188" s="43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42"/>
      <c r="B189" s="42"/>
      <c r="C189" s="43"/>
      <c r="D189" s="43"/>
      <c r="E189" s="43"/>
      <c r="F189" s="43"/>
      <c r="G189" s="43"/>
      <c r="H189" s="43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42"/>
      <c r="B190" s="42"/>
      <c r="C190" s="43"/>
      <c r="D190" s="43"/>
      <c r="E190" s="43"/>
      <c r="F190" s="43"/>
      <c r="G190" s="43"/>
      <c r="H190" s="43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42"/>
      <c r="B191" s="42"/>
      <c r="C191" s="43"/>
      <c r="D191" s="43"/>
      <c r="E191" s="43"/>
      <c r="F191" s="43"/>
      <c r="G191" s="43"/>
      <c r="H191" s="43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42"/>
      <c r="B192" s="42"/>
      <c r="C192" s="43"/>
      <c r="D192" s="43"/>
      <c r="E192" s="43"/>
      <c r="F192" s="43"/>
      <c r="G192" s="43"/>
      <c r="H192" s="43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42"/>
      <c r="B193" s="42"/>
      <c r="C193" s="43"/>
      <c r="D193" s="43"/>
      <c r="E193" s="43"/>
      <c r="F193" s="43"/>
      <c r="G193" s="43"/>
      <c r="H193" s="43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42"/>
      <c r="B194" s="42"/>
      <c r="C194" s="43"/>
      <c r="D194" s="43"/>
      <c r="E194" s="43"/>
      <c r="F194" s="43"/>
      <c r="G194" s="43"/>
      <c r="H194" s="43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42"/>
      <c r="B195" s="42"/>
      <c r="C195" s="43"/>
      <c r="D195" s="43"/>
      <c r="E195" s="43"/>
      <c r="F195" s="43"/>
      <c r="G195" s="43"/>
      <c r="H195" s="43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42"/>
      <c r="B196" s="42"/>
      <c r="C196" s="43"/>
      <c r="D196" s="43"/>
      <c r="E196" s="43"/>
      <c r="F196" s="43"/>
      <c r="G196" s="43"/>
      <c r="H196" s="43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42"/>
      <c r="B197" s="42"/>
      <c r="C197" s="43"/>
      <c r="D197" s="43"/>
      <c r="E197" s="43"/>
      <c r="F197" s="43"/>
      <c r="G197" s="43"/>
      <c r="H197" s="43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42"/>
      <c r="B198" s="42"/>
      <c r="C198" s="43"/>
      <c r="D198" s="43"/>
      <c r="E198" s="43"/>
      <c r="F198" s="43"/>
      <c r="G198" s="43"/>
      <c r="H198" s="43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42"/>
      <c r="B199" s="42"/>
      <c r="C199" s="43"/>
      <c r="D199" s="43"/>
      <c r="E199" s="43"/>
      <c r="F199" s="43"/>
      <c r="G199" s="43"/>
      <c r="H199" s="43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42"/>
      <c r="B200" s="42"/>
      <c r="C200" s="43"/>
      <c r="D200" s="43"/>
      <c r="E200" s="43"/>
      <c r="F200" s="43"/>
      <c r="G200" s="43"/>
      <c r="H200" s="43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42"/>
      <c r="B201" s="42"/>
      <c r="C201" s="43"/>
      <c r="D201" s="43"/>
      <c r="E201" s="43"/>
      <c r="F201" s="43"/>
      <c r="G201" s="43"/>
      <c r="H201" s="43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42"/>
      <c r="B202" s="42"/>
      <c r="C202" s="43"/>
      <c r="D202" s="43"/>
      <c r="E202" s="43"/>
      <c r="F202" s="43"/>
      <c r="G202" s="43"/>
      <c r="H202" s="43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42"/>
      <c r="B203" s="42"/>
      <c r="C203" s="43"/>
      <c r="D203" s="43"/>
      <c r="E203" s="43"/>
      <c r="F203" s="43"/>
      <c r="G203" s="43"/>
      <c r="H203" s="43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42"/>
      <c r="B204" s="42"/>
      <c r="C204" s="43"/>
      <c r="D204" s="43"/>
      <c r="E204" s="43"/>
      <c r="F204" s="43"/>
      <c r="G204" s="43"/>
      <c r="H204" s="43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42"/>
      <c r="B205" s="42"/>
      <c r="C205" s="43"/>
      <c r="D205" s="43"/>
      <c r="E205" s="43"/>
      <c r="F205" s="43"/>
      <c r="G205" s="43"/>
      <c r="H205" s="43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42"/>
      <c r="B206" s="42"/>
      <c r="C206" s="43"/>
      <c r="D206" s="43"/>
      <c r="E206" s="43"/>
      <c r="F206" s="43"/>
      <c r="G206" s="43"/>
      <c r="H206" s="43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42"/>
      <c r="B207" s="42"/>
      <c r="C207" s="43"/>
      <c r="D207" s="43"/>
      <c r="E207" s="43"/>
      <c r="F207" s="43"/>
      <c r="G207" s="43"/>
      <c r="H207" s="43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42"/>
      <c r="B208" s="42"/>
      <c r="C208" s="43"/>
      <c r="D208" s="43"/>
      <c r="E208" s="43"/>
      <c r="F208" s="43"/>
      <c r="G208" s="43"/>
      <c r="H208" s="43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42"/>
      <c r="B209" s="42"/>
      <c r="C209" s="43"/>
      <c r="D209" s="43"/>
      <c r="E209" s="43"/>
      <c r="F209" s="43"/>
      <c r="G209" s="43"/>
      <c r="H209" s="43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42"/>
      <c r="B210" s="42"/>
      <c r="C210" s="43"/>
      <c r="D210" s="43"/>
      <c r="E210" s="43"/>
      <c r="F210" s="43"/>
      <c r="G210" s="43"/>
      <c r="H210" s="43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42"/>
      <c r="B211" s="42"/>
      <c r="C211" s="43"/>
      <c r="D211" s="43"/>
      <c r="E211" s="43"/>
      <c r="F211" s="43"/>
      <c r="G211" s="43"/>
      <c r="H211" s="43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42"/>
      <c r="B212" s="42"/>
      <c r="C212" s="43"/>
      <c r="D212" s="43"/>
      <c r="E212" s="43"/>
      <c r="F212" s="43"/>
      <c r="G212" s="43"/>
      <c r="H212" s="43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42"/>
      <c r="B213" s="42"/>
      <c r="C213" s="43"/>
      <c r="D213" s="43"/>
      <c r="E213" s="43"/>
      <c r="F213" s="43"/>
      <c r="G213" s="43"/>
      <c r="H213" s="43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42"/>
      <c r="B214" s="42"/>
      <c r="C214" s="43"/>
      <c r="D214" s="43"/>
      <c r="E214" s="43"/>
      <c r="F214" s="43"/>
      <c r="G214" s="43"/>
      <c r="H214" s="43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42"/>
      <c r="B215" s="42"/>
      <c r="C215" s="43"/>
      <c r="D215" s="43"/>
      <c r="E215" s="43"/>
      <c r="F215" s="43"/>
      <c r="G215" s="43"/>
      <c r="H215" s="43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42"/>
      <c r="B216" s="42"/>
      <c r="C216" s="43"/>
      <c r="D216" s="43"/>
      <c r="E216" s="43"/>
      <c r="F216" s="43"/>
      <c r="G216" s="43"/>
      <c r="H216" s="43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42"/>
      <c r="B217" s="42"/>
      <c r="C217" s="43"/>
      <c r="D217" s="43"/>
      <c r="E217" s="43"/>
      <c r="F217" s="43"/>
      <c r="G217" s="43"/>
      <c r="H217" s="43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42"/>
      <c r="B218" s="42"/>
      <c r="C218" s="43"/>
      <c r="D218" s="43"/>
      <c r="E218" s="43"/>
      <c r="F218" s="43"/>
      <c r="G218" s="43"/>
      <c r="H218" s="43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42"/>
      <c r="B219" s="42"/>
      <c r="C219" s="43"/>
      <c r="D219" s="43"/>
      <c r="E219" s="43"/>
      <c r="F219" s="43"/>
      <c r="G219" s="43"/>
      <c r="H219" s="43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42"/>
      <c r="B220" s="42"/>
      <c r="C220" s="43"/>
      <c r="D220" s="43"/>
      <c r="E220" s="43"/>
      <c r="F220" s="43"/>
      <c r="G220" s="43"/>
      <c r="H220" s="43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42"/>
      <c r="B221" s="42"/>
      <c r="C221" s="43"/>
      <c r="D221" s="43"/>
      <c r="E221" s="43"/>
      <c r="F221" s="43"/>
      <c r="G221" s="43"/>
      <c r="H221" s="43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42"/>
      <c r="B222" s="42"/>
      <c r="C222" s="43"/>
      <c r="D222" s="43"/>
      <c r="E222" s="43"/>
      <c r="F222" s="43"/>
      <c r="G222" s="43"/>
      <c r="H222" s="43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42"/>
      <c r="B223" s="42"/>
      <c r="C223" s="43"/>
      <c r="D223" s="43"/>
      <c r="E223" s="43"/>
      <c r="F223" s="43"/>
      <c r="G223" s="43"/>
      <c r="H223" s="43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42"/>
      <c r="B224" s="42"/>
      <c r="C224" s="43"/>
      <c r="D224" s="43"/>
      <c r="E224" s="43"/>
      <c r="F224" s="43"/>
      <c r="G224" s="43"/>
      <c r="H224" s="43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42"/>
      <c r="B225" s="42"/>
      <c r="C225" s="43"/>
      <c r="D225" s="43"/>
      <c r="E225" s="43"/>
      <c r="F225" s="43"/>
      <c r="G225" s="43"/>
      <c r="H225" s="43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42"/>
      <c r="B226" s="42"/>
      <c r="C226" s="43"/>
      <c r="D226" s="43"/>
      <c r="E226" s="43"/>
      <c r="F226" s="43"/>
      <c r="G226" s="43"/>
      <c r="H226" s="43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42"/>
      <c r="B227" s="42"/>
      <c r="C227" s="43"/>
      <c r="D227" s="43"/>
      <c r="E227" s="43"/>
      <c r="F227" s="43"/>
      <c r="G227" s="43"/>
      <c r="H227" s="43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42"/>
      <c r="B228" s="42"/>
      <c r="C228" s="43"/>
      <c r="D228" s="43"/>
      <c r="E228" s="43"/>
      <c r="F228" s="43"/>
      <c r="G228" s="43"/>
      <c r="H228" s="43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42"/>
      <c r="B229" s="42"/>
      <c r="C229" s="43"/>
      <c r="D229" s="43"/>
      <c r="E229" s="43"/>
      <c r="F229" s="43"/>
      <c r="G229" s="43"/>
      <c r="H229" s="43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42"/>
      <c r="B230" s="42"/>
      <c r="C230" s="43"/>
      <c r="D230" s="43"/>
      <c r="E230" s="43"/>
      <c r="F230" s="43"/>
      <c r="G230" s="43"/>
      <c r="H230" s="43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42"/>
      <c r="B231" s="42"/>
      <c r="C231" s="43"/>
      <c r="D231" s="43"/>
      <c r="E231" s="43"/>
      <c r="F231" s="43"/>
      <c r="G231" s="43"/>
      <c r="H231" s="43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42"/>
      <c r="B232" s="42"/>
      <c r="C232" s="43"/>
      <c r="D232" s="43"/>
      <c r="E232" s="43"/>
      <c r="F232" s="43"/>
      <c r="G232" s="43"/>
      <c r="H232" s="43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42"/>
      <c r="B233" s="42"/>
      <c r="C233" s="43"/>
      <c r="D233" s="43"/>
      <c r="E233" s="43"/>
      <c r="F233" s="43"/>
      <c r="G233" s="43"/>
      <c r="H233" s="43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42"/>
      <c r="B234" s="42"/>
      <c r="C234" s="43"/>
      <c r="D234" s="43"/>
      <c r="E234" s="43"/>
      <c r="F234" s="43"/>
      <c r="G234" s="43"/>
      <c r="H234" s="43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42"/>
      <c r="B235" s="42"/>
      <c r="C235" s="43"/>
      <c r="D235" s="43"/>
      <c r="E235" s="43"/>
      <c r="F235" s="43"/>
      <c r="G235" s="43"/>
      <c r="H235" s="43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42"/>
      <c r="B236" s="42"/>
      <c r="C236" s="43"/>
      <c r="D236" s="43"/>
      <c r="E236" s="43"/>
      <c r="F236" s="43"/>
      <c r="G236" s="43"/>
      <c r="H236" s="43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42"/>
      <c r="B237" s="42"/>
      <c r="C237" s="43"/>
      <c r="D237" s="43"/>
      <c r="E237" s="43"/>
      <c r="F237" s="43"/>
      <c r="G237" s="43"/>
      <c r="H237" s="43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42"/>
      <c r="B238" s="42"/>
      <c r="C238" s="43"/>
      <c r="D238" s="43"/>
      <c r="E238" s="43"/>
      <c r="F238" s="43"/>
      <c r="G238" s="43"/>
      <c r="H238" s="43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42"/>
      <c r="B239" s="42"/>
      <c r="C239" s="43"/>
      <c r="D239" s="43"/>
      <c r="E239" s="43"/>
      <c r="F239" s="43"/>
      <c r="G239" s="43"/>
      <c r="H239" s="43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42"/>
      <c r="B240" s="42"/>
      <c r="C240" s="43"/>
      <c r="D240" s="43"/>
      <c r="E240" s="43"/>
      <c r="F240" s="43"/>
      <c r="G240" s="43"/>
      <c r="H240" s="43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42"/>
      <c r="B241" s="42"/>
      <c r="C241" s="43"/>
      <c r="D241" s="43"/>
      <c r="E241" s="43"/>
      <c r="F241" s="43"/>
      <c r="G241" s="43"/>
      <c r="H241" s="43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42"/>
      <c r="B242" s="42"/>
      <c r="C242" s="43"/>
      <c r="D242" s="43"/>
      <c r="E242" s="43"/>
      <c r="F242" s="43"/>
      <c r="G242" s="43"/>
      <c r="H242" s="43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42"/>
      <c r="B243" s="42"/>
      <c r="C243" s="43"/>
      <c r="D243" s="43"/>
      <c r="E243" s="43"/>
      <c r="F243" s="43"/>
      <c r="G243" s="43"/>
      <c r="H243" s="43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42"/>
      <c r="B244" s="42"/>
      <c r="C244" s="43"/>
      <c r="D244" s="43"/>
      <c r="E244" s="43"/>
      <c r="F244" s="43"/>
      <c r="G244" s="43"/>
      <c r="H244" s="43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42"/>
      <c r="B245" s="42"/>
      <c r="C245" s="43"/>
      <c r="D245" s="43"/>
      <c r="E245" s="43"/>
      <c r="F245" s="43"/>
      <c r="G245" s="43"/>
      <c r="H245" s="43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42"/>
      <c r="B246" s="42"/>
      <c r="C246" s="43"/>
      <c r="D246" s="43"/>
      <c r="E246" s="43"/>
      <c r="F246" s="43"/>
      <c r="G246" s="43"/>
      <c r="H246" s="43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42"/>
      <c r="B247" s="42"/>
      <c r="C247" s="43"/>
      <c r="D247" s="43"/>
      <c r="E247" s="43"/>
      <c r="F247" s="43"/>
      <c r="G247" s="43"/>
      <c r="H247" s="43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42"/>
      <c r="B248" s="42"/>
      <c r="C248" s="43"/>
      <c r="D248" s="43"/>
      <c r="E248" s="43"/>
      <c r="F248" s="43"/>
      <c r="G248" s="43"/>
      <c r="H248" s="43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42"/>
      <c r="B249" s="42"/>
      <c r="C249" s="43"/>
      <c r="D249" s="43"/>
      <c r="E249" s="43"/>
      <c r="F249" s="43"/>
      <c r="G249" s="43"/>
      <c r="H249" s="43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42"/>
      <c r="B250" s="42"/>
      <c r="C250" s="43"/>
      <c r="D250" s="43"/>
      <c r="E250" s="43"/>
      <c r="F250" s="43"/>
      <c r="G250" s="43"/>
      <c r="H250" s="43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42"/>
      <c r="B251" s="42"/>
      <c r="C251" s="43"/>
      <c r="D251" s="43"/>
      <c r="E251" s="43"/>
      <c r="F251" s="43"/>
      <c r="G251" s="43"/>
      <c r="H251" s="43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42"/>
      <c r="B252" s="42"/>
      <c r="C252" s="43"/>
      <c r="D252" s="43"/>
      <c r="E252" s="43"/>
      <c r="F252" s="43"/>
      <c r="G252" s="43"/>
      <c r="H252" s="43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42"/>
      <c r="B253" s="42"/>
      <c r="C253" s="43"/>
      <c r="D253" s="43"/>
      <c r="E253" s="43"/>
      <c r="F253" s="43"/>
      <c r="G253" s="43"/>
      <c r="H253" s="43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42"/>
      <c r="B254" s="42"/>
      <c r="C254" s="43"/>
      <c r="D254" s="43"/>
      <c r="E254" s="43"/>
      <c r="F254" s="43"/>
      <c r="G254" s="43"/>
      <c r="H254" s="43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42"/>
      <c r="B255" s="42"/>
      <c r="C255" s="43"/>
      <c r="D255" s="43"/>
      <c r="E255" s="43"/>
      <c r="F255" s="43"/>
      <c r="G255" s="43"/>
      <c r="H255" s="43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42"/>
      <c r="B256" s="42"/>
      <c r="C256" s="43"/>
      <c r="D256" s="43"/>
      <c r="E256" s="43"/>
      <c r="F256" s="43"/>
      <c r="G256" s="43"/>
      <c r="H256" s="43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42"/>
      <c r="B257" s="42"/>
      <c r="C257" s="43"/>
      <c r="D257" s="43"/>
      <c r="E257" s="43"/>
      <c r="F257" s="43"/>
      <c r="G257" s="43"/>
      <c r="H257" s="43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42"/>
      <c r="B258" s="42"/>
      <c r="C258" s="43"/>
      <c r="D258" s="43"/>
      <c r="E258" s="43"/>
      <c r="F258" s="43"/>
      <c r="G258" s="43"/>
      <c r="H258" s="43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42"/>
      <c r="B259" s="42"/>
      <c r="C259" s="43"/>
      <c r="D259" s="43"/>
      <c r="E259" s="43"/>
      <c r="F259" s="43"/>
      <c r="G259" s="43"/>
      <c r="H259" s="43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42"/>
      <c r="B260" s="42"/>
      <c r="C260" s="43"/>
      <c r="D260" s="43"/>
      <c r="E260" s="43"/>
      <c r="F260" s="43"/>
      <c r="G260" s="43"/>
      <c r="H260" s="43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42"/>
      <c r="B261" s="42"/>
      <c r="C261" s="43"/>
      <c r="D261" s="43"/>
      <c r="E261" s="43"/>
      <c r="F261" s="43"/>
      <c r="G261" s="43"/>
      <c r="H261" s="43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42"/>
      <c r="B262" s="42"/>
      <c r="C262" s="43"/>
      <c r="D262" s="43"/>
      <c r="E262" s="43"/>
      <c r="F262" s="43"/>
      <c r="G262" s="43"/>
      <c r="H262" s="43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42"/>
      <c r="B263" s="42"/>
      <c r="C263" s="43"/>
      <c r="D263" s="43"/>
      <c r="E263" s="43"/>
      <c r="F263" s="43"/>
      <c r="G263" s="43"/>
      <c r="H263" s="43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42"/>
      <c r="B264" s="42"/>
      <c r="C264" s="43"/>
      <c r="D264" s="43"/>
      <c r="E264" s="43"/>
      <c r="F264" s="43"/>
      <c r="G264" s="43"/>
      <c r="H264" s="43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42"/>
      <c r="B265" s="42"/>
      <c r="C265" s="43"/>
      <c r="D265" s="43"/>
      <c r="E265" s="43"/>
      <c r="F265" s="43"/>
      <c r="G265" s="43"/>
      <c r="H265" s="43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42"/>
      <c r="B266" s="42"/>
      <c r="C266" s="43"/>
      <c r="D266" s="43"/>
      <c r="E266" s="43"/>
      <c r="F266" s="43"/>
      <c r="G266" s="43"/>
      <c r="H266" s="43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42"/>
      <c r="B267" s="42"/>
      <c r="C267" s="43"/>
      <c r="D267" s="43"/>
      <c r="E267" s="43"/>
      <c r="F267" s="43"/>
      <c r="G267" s="43"/>
      <c r="H267" s="43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42"/>
      <c r="B268" s="42"/>
      <c r="C268" s="43"/>
      <c r="D268" s="43"/>
      <c r="E268" s="43"/>
      <c r="F268" s="43"/>
      <c r="G268" s="43"/>
      <c r="H268" s="43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42"/>
      <c r="B269" s="42"/>
      <c r="C269" s="43"/>
      <c r="D269" s="43"/>
      <c r="E269" s="43"/>
      <c r="F269" s="43"/>
      <c r="G269" s="43"/>
      <c r="H269" s="43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42"/>
      <c r="B270" s="42"/>
      <c r="C270" s="43"/>
      <c r="D270" s="43"/>
      <c r="E270" s="43"/>
      <c r="F270" s="43"/>
      <c r="G270" s="43"/>
      <c r="H270" s="43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42"/>
      <c r="B271" s="42"/>
      <c r="C271" s="43"/>
      <c r="D271" s="43"/>
      <c r="E271" s="43"/>
      <c r="F271" s="43"/>
      <c r="G271" s="43"/>
      <c r="H271" s="43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42"/>
      <c r="B272" s="42"/>
      <c r="C272" s="43"/>
      <c r="D272" s="43"/>
      <c r="E272" s="43"/>
      <c r="F272" s="43"/>
      <c r="G272" s="43"/>
      <c r="H272" s="43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42"/>
      <c r="B273" s="42"/>
      <c r="C273" s="43"/>
      <c r="D273" s="43"/>
      <c r="E273" s="43"/>
      <c r="F273" s="43"/>
      <c r="G273" s="43"/>
      <c r="H273" s="43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42"/>
      <c r="B274" s="42"/>
      <c r="C274" s="43"/>
      <c r="D274" s="43"/>
      <c r="E274" s="43"/>
      <c r="F274" s="43"/>
      <c r="G274" s="43"/>
      <c r="H274" s="43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42"/>
      <c r="B275" s="42"/>
      <c r="C275" s="43"/>
      <c r="D275" s="43"/>
      <c r="E275" s="43"/>
      <c r="F275" s="43"/>
      <c r="G275" s="43"/>
      <c r="H275" s="43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42"/>
      <c r="B276" s="42"/>
      <c r="C276" s="43"/>
      <c r="D276" s="43"/>
      <c r="E276" s="43"/>
      <c r="F276" s="43"/>
      <c r="G276" s="43"/>
      <c r="H276" s="43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42"/>
      <c r="B277" s="42"/>
      <c r="C277" s="43"/>
      <c r="D277" s="43"/>
      <c r="E277" s="43"/>
      <c r="F277" s="43"/>
      <c r="G277" s="43"/>
      <c r="H277" s="43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42"/>
      <c r="B278" s="42"/>
      <c r="C278" s="43"/>
      <c r="D278" s="43"/>
      <c r="E278" s="43"/>
      <c r="F278" s="43"/>
      <c r="G278" s="43"/>
      <c r="H278" s="43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42"/>
      <c r="B279" s="42"/>
      <c r="C279" s="43"/>
      <c r="D279" s="43"/>
      <c r="E279" s="43"/>
      <c r="F279" s="43"/>
      <c r="G279" s="43"/>
      <c r="H279" s="43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42"/>
      <c r="B280" s="42"/>
      <c r="C280" s="43"/>
      <c r="D280" s="43"/>
      <c r="E280" s="43"/>
      <c r="F280" s="43"/>
      <c r="G280" s="43"/>
      <c r="H280" s="43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42"/>
      <c r="B281" s="42"/>
      <c r="C281" s="43"/>
      <c r="D281" s="43"/>
      <c r="E281" s="43"/>
      <c r="F281" s="43"/>
      <c r="G281" s="43"/>
      <c r="H281" s="43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42"/>
      <c r="B282" s="42"/>
      <c r="C282" s="43"/>
      <c r="D282" s="43"/>
      <c r="E282" s="43"/>
      <c r="F282" s="43"/>
      <c r="G282" s="43"/>
      <c r="H282" s="43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42"/>
      <c r="B283" s="42"/>
      <c r="C283" s="43"/>
      <c r="D283" s="43"/>
      <c r="E283" s="43"/>
      <c r="F283" s="43"/>
      <c r="G283" s="43"/>
      <c r="H283" s="43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42"/>
      <c r="B284" s="42"/>
      <c r="C284" s="43"/>
      <c r="D284" s="43"/>
      <c r="E284" s="43"/>
      <c r="F284" s="43"/>
      <c r="G284" s="43"/>
      <c r="H284" s="43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42"/>
      <c r="B285" s="42"/>
      <c r="C285" s="43"/>
      <c r="D285" s="43"/>
      <c r="E285" s="43"/>
      <c r="F285" s="43"/>
      <c r="G285" s="43"/>
      <c r="H285" s="43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42"/>
      <c r="B286" s="42"/>
      <c r="C286" s="43"/>
      <c r="D286" s="43"/>
      <c r="E286" s="43"/>
      <c r="F286" s="43"/>
      <c r="G286" s="43"/>
      <c r="H286" s="43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42"/>
      <c r="B287" s="42"/>
      <c r="C287" s="43"/>
      <c r="D287" s="43"/>
      <c r="E287" s="43"/>
      <c r="F287" s="43"/>
      <c r="G287" s="43"/>
      <c r="H287" s="43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42"/>
      <c r="B288" s="42"/>
      <c r="C288" s="43"/>
      <c r="D288" s="43"/>
      <c r="E288" s="43"/>
      <c r="F288" s="43"/>
      <c r="G288" s="43"/>
      <c r="H288" s="43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42"/>
      <c r="B289" s="42"/>
      <c r="C289" s="43"/>
      <c r="D289" s="43"/>
      <c r="E289" s="43"/>
      <c r="F289" s="43"/>
      <c r="G289" s="43"/>
      <c r="H289" s="43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42"/>
      <c r="B290" s="42"/>
      <c r="C290" s="43"/>
      <c r="D290" s="43"/>
      <c r="E290" s="43"/>
      <c r="F290" s="43"/>
      <c r="G290" s="43"/>
      <c r="H290" s="43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42"/>
      <c r="B291" s="42"/>
      <c r="C291" s="43"/>
      <c r="D291" s="43"/>
      <c r="E291" s="43"/>
      <c r="F291" s="43"/>
      <c r="G291" s="43"/>
      <c r="H291" s="43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42"/>
      <c r="B292" s="42"/>
      <c r="C292" s="43"/>
      <c r="D292" s="43"/>
      <c r="E292" s="43"/>
      <c r="F292" s="43"/>
      <c r="G292" s="43"/>
      <c r="H292" s="43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42"/>
      <c r="B293" s="42"/>
      <c r="C293" s="43"/>
      <c r="D293" s="43"/>
      <c r="E293" s="43"/>
      <c r="F293" s="43"/>
      <c r="G293" s="43"/>
      <c r="H293" s="43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42"/>
      <c r="B294" s="42"/>
      <c r="C294" s="43"/>
      <c r="D294" s="43"/>
      <c r="E294" s="43"/>
      <c r="F294" s="43"/>
      <c r="G294" s="43"/>
      <c r="H294" s="43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42"/>
      <c r="B295" s="42"/>
      <c r="C295" s="43"/>
      <c r="D295" s="43"/>
      <c r="E295" s="43"/>
      <c r="F295" s="43"/>
      <c r="G295" s="43"/>
      <c r="H295" s="43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42"/>
      <c r="B296" s="42"/>
      <c r="C296" s="43"/>
      <c r="D296" s="43"/>
      <c r="E296" s="43"/>
      <c r="F296" s="43"/>
      <c r="G296" s="43"/>
      <c r="H296" s="43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42"/>
      <c r="B297" s="42"/>
      <c r="C297" s="43"/>
      <c r="D297" s="43"/>
      <c r="E297" s="43"/>
      <c r="F297" s="43"/>
      <c r="G297" s="43"/>
      <c r="H297" s="43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42"/>
      <c r="B298" s="42"/>
      <c r="C298" s="43"/>
      <c r="D298" s="43"/>
      <c r="E298" s="43"/>
      <c r="F298" s="43"/>
      <c r="G298" s="43"/>
      <c r="H298" s="43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42"/>
      <c r="B299" s="42"/>
      <c r="C299" s="43"/>
      <c r="D299" s="43"/>
      <c r="E299" s="43"/>
      <c r="F299" s="43"/>
      <c r="G299" s="43"/>
      <c r="H299" s="43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42"/>
      <c r="B300" s="42"/>
      <c r="C300" s="43"/>
      <c r="D300" s="43"/>
      <c r="E300" s="43"/>
      <c r="F300" s="43"/>
      <c r="G300" s="43"/>
      <c r="H300" s="43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42"/>
      <c r="B301" s="42"/>
      <c r="C301" s="43"/>
      <c r="D301" s="43"/>
      <c r="E301" s="43"/>
      <c r="F301" s="43"/>
      <c r="G301" s="43"/>
      <c r="H301" s="43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42"/>
      <c r="B302" s="42"/>
      <c r="C302" s="43"/>
      <c r="D302" s="43"/>
      <c r="E302" s="43"/>
      <c r="F302" s="43"/>
      <c r="G302" s="43"/>
      <c r="H302" s="43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42"/>
      <c r="B303" s="42"/>
      <c r="C303" s="43"/>
      <c r="D303" s="43"/>
      <c r="E303" s="43"/>
      <c r="F303" s="43"/>
      <c r="G303" s="43"/>
      <c r="H303" s="43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42"/>
      <c r="B304" s="42"/>
      <c r="C304" s="43"/>
      <c r="D304" s="43"/>
      <c r="E304" s="43"/>
      <c r="F304" s="43"/>
      <c r="G304" s="43"/>
      <c r="H304" s="43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42"/>
      <c r="B305" s="42"/>
      <c r="C305" s="43"/>
      <c r="D305" s="43"/>
      <c r="E305" s="43"/>
      <c r="F305" s="43"/>
      <c r="G305" s="43"/>
      <c r="H305" s="43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42"/>
      <c r="B306" s="42"/>
      <c r="C306" s="43"/>
      <c r="D306" s="43"/>
      <c r="E306" s="43"/>
      <c r="F306" s="43"/>
      <c r="G306" s="43"/>
      <c r="H306" s="43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42"/>
      <c r="B307" s="42"/>
      <c r="C307" s="43"/>
      <c r="D307" s="43"/>
      <c r="E307" s="43"/>
      <c r="F307" s="43"/>
      <c r="G307" s="43"/>
      <c r="H307" s="43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42"/>
      <c r="B308" s="42"/>
      <c r="C308" s="43"/>
      <c r="D308" s="43"/>
      <c r="E308" s="43"/>
      <c r="F308" s="43"/>
      <c r="G308" s="43"/>
      <c r="H308" s="43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42"/>
      <c r="B309" s="42"/>
      <c r="C309" s="43"/>
      <c r="D309" s="43"/>
      <c r="E309" s="43"/>
      <c r="F309" s="43"/>
      <c r="G309" s="43"/>
      <c r="H309" s="43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42"/>
      <c r="B310" s="42"/>
      <c r="C310" s="43"/>
      <c r="D310" s="43"/>
      <c r="E310" s="43"/>
      <c r="F310" s="43"/>
      <c r="G310" s="43"/>
      <c r="H310" s="43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42"/>
      <c r="B311" s="42"/>
      <c r="C311" s="43"/>
      <c r="D311" s="43"/>
      <c r="E311" s="43"/>
      <c r="F311" s="43"/>
      <c r="G311" s="43"/>
      <c r="H311" s="43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42"/>
      <c r="B312" s="42"/>
      <c r="C312" s="43"/>
      <c r="D312" s="43"/>
      <c r="E312" s="43"/>
      <c r="F312" s="43"/>
      <c r="G312" s="43"/>
      <c r="H312" s="43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42"/>
      <c r="B313" s="42"/>
      <c r="C313" s="43"/>
      <c r="D313" s="43"/>
      <c r="E313" s="43"/>
      <c r="F313" s="43"/>
      <c r="G313" s="43"/>
      <c r="H313" s="43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42"/>
      <c r="B314" s="42"/>
      <c r="C314" s="43"/>
      <c r="D314" s="43"/>
      <c r="E314" s="43"/>
      <c r="F314" s="43"/>
      <c r="G314" s="43"/>
      <c r="H314" s="43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42"/>
      <c r="B315" s="42"/>
      <c r="C315" s="43"/>
      <c r="D315" s="43"/>
      <c r="E315" s="43"/>
      <c r="F315" s="43"/>
      <c r="G315" s="43"/>
      <c r="H315" s="43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42"/>
      <c r="B316" s="42"/>
      <c r="C316" s="43"/>
      <c r="D316" s="43"/>
      <c r="E316" s="43"/>
      <c r="F316" s="43"/>
      <c r="G316" s="43"/>
      <c r="H316" s="43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42"/>
      <c r="B317" s="42"/>
      <c r="C317" s="43"/>
      <c r="D317" s="43"/>
      <c r="E317" s="43"/>
      <c r="F317" s="43"/>
      <c r="G317" s="43"/>
      <c r="H317" s="43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42"/>
      <c r="B318" s="42"/>
      <c r="C318" s="43"/>
      <c r="D318" s="43"/>
      <c r="E318" s="43"/>
      <c r="F318" s="43"/>
      <c r="G318" s="43"/>
      <c r="H318" s="43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42"/>
      <c r="B319" s="42"/>
      <c r="C319" s="43"/>
      <c r="D319" s="43"/>
      <c r="E319" s="43"/>
      <c r="F319" s="43"/>
      <c r="G319" s="43"/>
      <c r="H319" s="43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42"/>
      <c r="B320" s="42"/>
      <c r="C320" s="43"/>
      <c r="D320" s="43"/>
      <c r="E320" s="43"/>
      <c r="F320" s="43"/>
      <c r="G320" s="43"/>
      <c r="H320" s="43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42"/>
      <c r="B321" s="42"/>
      <c r="C321" s="43"/>
      <c r="D321" s="43"/>
      <c r="E321" s="43"/>
      <c r="F321" s="43"/>
      <c r="G321" s="43"/>
      <c r="H321" s="43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42"/>
      <c r="B322" s="42"/>
      <c r="C322" s="43"/>
      <c r="D322" s="43"/>
      <c r="E322" s="43"/>
      <c r="F322" s="43"/>
      <c r="G322" s="43"/>
      <c r="H322" s="43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42"/>
      <c r="B323" s="42"/>
      <c r="C323" s="43"/>
      <c r="D323" s="43"/>
      <c r="E323" s="43"/>
      <c r="F323" s="43"/>
      <c r="G323" s="43"/>
      <c r="H323" s="43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42"/>
      <c r="B324" s="42"/>
      <c r="C324" s="43"/>
      <c r="D324" s="43"/>
      <c r="E324" s="43"/>
      <c r="F324" s="43"/>
      <c r="G324" s="43"/>
      <c r="H324" s="43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42"/>
      <c r="B325" s="42"/>
      <c r="C325" s="43"/>
      <c r="D325" s="43"/>
      <c r="E325" s="43"/>
      <c r="F325" s="43"/>
      <c r="G325" s="43"/>
      <c r="H325" s="43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42"/>
      <c r="B326" s="42"/>
      <c r="C326" s="43"/>
      <c r="D326" s="43"/>
      <c r="E326" s="43"/>
      <c r="F326" s="43"/>
      <c r="G326" s="43"/>
      <c r="H326" s="43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42"/>
      <c r="B327" s="42"/>
      <c r="C327" s="43"/>
      <c r="D327" s="43"/>
      <c r="E327" s="43"/>
      <c r="F327" s="43"/>
      <c r="G327" s="43"/>
      <c r="H327" s="43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42"/>
      <c r="B328" s="42"/>
      <c r="C328" s="43"/>
      <c r="D328" s="43"/>
      <c r="E328" s="43"/>
      <c r="F328" s="43"/>
      <c r="G328" s="43"/>
      <c r="H328" s="43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42"/>
      <c r="B329" s="42"/>
      <c r="C329" s="43"/>
      <c r="D329" s="43"/>
      <c r="E329" s="43"/>
      <c r="F329" s="43"/>
      <c r="G329" s="43"/>
      <c r="H329" s="43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42"/>
      <c r="B330" s="42"/>
      <c r="C330" s="43"/>
      <c r="D330" s="43"/>
      <c r="E330" s="43"/>
      <c r="F330" s="43"/>
      <c r="G330" s="43"/>
      <c r="H330" s="43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42"/>
      <c r="B331" s="42"/>
      <c r="C331" s="43"/>
      <c r="D331" s="43"/>
      <c r="E331" s="43"/>
      <c r="F331" s="43"/>
      <c r="G331" s="43"/>
      <c r="H331" s="43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42"/>
      <c r="B332" s="42"/>
      <c r="C332" s="43"/>
      <c r="D332" s="43"/>
      <c r="E332" s="43"/>
      <c r="F332" s="43"/>
      <c r="G332" s="43"/>
      <c r="H332" s="43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42"/>
      <c r="B333" s="42"/>
      <c r="C333" s="43"/>
      <c r="D333" s="43"/>
      <c r="E333" s="43"/>
      <c r="F333" s="43"/>
      <c r="G333" s="43"/>
      <c r="H333" s="43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42"/>
      <c r="B334" s="42"/>
      <c r="C334" s="43"/>
      <c r="D334" s="43"/>
      <c r="E334" s="43"/>
      <c r="F334" s="43"/>
      <c r="G334" s="43"/>
      <c r="H334" s="43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42"/>
      <c r="B335" s="42"/>
      <c r="C335" s="43"/>
      <c r="D335" s="43"/>
      <c r="E335" s="43"/>
      <c r="F335" s="43"/>
      <c r="G335" s="43"/>
      <c r="H335" s="43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42"/>
      <c r="B336" s="42"/>
      <c r="C336" s="43"/>
      <c r="D336" s="43"/>
      <c r="E336" s="43"/>
      <c r="F336" s="43"/>
      <c r="G336" s="43"/>
      <c r="H336" s="43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42"/>
      <c r="B337" s="42"/>
      <c r="C337" s="43"/>
      <c r="D337" s="43"/>
      <c r="E337" s="43"/>
      <c r="F337" s="43"/>
      <c r="G337" s="43"/>
      <c r="H337" s="43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42"/>
      <c r="B338" s="42"/>
      <c r="C338" s="43"/>
      <c r="D338" s="43"/>
      <c r="E338" s="43"/>
      <c r="F338" s="43"/>
      <c r="G338" s="43"/>
      <c r="H338" s="43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42"/>
      <c r="B339" s="42"/>
      <c r="C339" s="43"/>
      <c r="D339" s="43"/>
      <c r="E339" s="43"/>
      <c r="F339" s="43"/>
      <c r="G339" s="43"/>
      <c r="H339" s="43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42"/>
      <c r="B340" s="42"/>
      <c r="C340" s="43"/>
      <c r="D340" s="43"/>
      <c r="E340" s="43"/>
      <c r="F340" s="43"/>
      <c r="G340" s="43"/>
      <c r="H340" s="43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42"/>
      <c r="B341" s="42"/>
      <c r="C341" s="43"/>
      <c r="D341" s="43"/>
      <c r="E341" s="43"/>
      <c r="F341" s="43"/>
      <c r="G341" s="43"/>
      <c r="H341" s="43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42"/>
      <c r="B342" s="42"/>
      <c r="C342" s="43"/>
      <c r="D342" s="43"/>
      <c r="E342" s="43"/>
      <c r="F342" s="43"/>
      <c r="G342" s="43"/>
      <c r="H342" s="43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42"/>
      <c r="B343" s="42"/>
      <c r="C343" s="43"/>
      <c r="D343" s="43"/>
      <c r="E343" s="43"/>
      <c r="F343" s="43"/>
      <c r="G343" s="43"/>
      <c r="H343" s="43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42"/>
      <c r="B344" s="42"/>
      <c r="C344" s="43"/>
      <c r="D344" s="43"/>
      <c r="E344" s="43"/>
      <c r="F344" s="43"/>
      <c r="G344" s="43"/>
      <c r="H344" s="43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42"/>
      <c r="B345" s="42"/>
      <c r="C345" s="43"/>
      <c r="D345" s="43"/>
      <c r="E345" s="43"/>
      <c r="F345" s="43"/>
      <c r="G345" s="43"/>
      <c r="H345" s="43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42"/>
      <c r="B346" s="42"/>
      <c r="C346" s="43"/>
      <c r="D346" s="43"/>
      <c r="E346" s="43"/>
      <c r="F346" s="43"/>
      <c r="G346" s="43"/>
      <c r="H346" s="43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42"/>
      <c r="B347" s="42"/>
      <c r="C347" s="43"/>
      <c r="D347" s="43"/>
      <c r="E347" s="43"/>
      <c r="F347" s="43"/>
      <c r="G347" s="43"/>
      <c r="H347" s="43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42"/>
      <c r="B348" s="42"/>
      <c r="C348" s="43"/>
      <c r="D348" s="43"/>
      <c r="E348" s="43"/>
      <c r="F348" s="43"/>
      <c r="G348" s="43"/>
      <c r="H348" s="43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42"/>
      <c r="B349" s="42"/>
      <c r="C349" s="43"/>
      <c r="D349" s="43"/>
      <c r="E349" s="43"/>
      <c r="F349" s="43"/>
      <c r="G349" s="43"/>
      <c r="H349" s="43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42"/>
      <c r="B350" s="42"/>
      <c r="C350" s="43"/>
      <c r="D350" s="43"/>
      <c r="E350" s="43"/>
      <c r="F350" s="43"/>
      <c r="G350" s="43"/>
      <c r="H350" s="43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42"/>
      <c r="B351" s="42"/>
      <c r="C351" s="43"/>
      <c r="D351" s="43"/>
      <c r="E351" s="43"/>
      <c r="F351" s="43"/>
      <c r="G351" s="43"/>
      <c r="H351" s="43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42"/>
      <c r="B352" s="42"/>
      <c r="C352" s="43"/>
      <c r="D352" s="43"/>
      <c r="E352" s="43"/>
      <c r="F352" s="43"/>
      <c r="G352" s="43"/>
      <c r="H352" s="43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42"/>
      <c r="B353" s="42"/>
      <c r="C353" s="43"/>
      <c r="D353" s="43"/>
      <c r="E353" s="43"/>
      <c r="F353" s="43"/>
      <c r="G353" s="43"/>
      <c r="H353" s="43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42"/>
      <c r="B354" s="42"/>
      <c r="C354" s="43"/>
      <c r="D354" s="43"/>
      <c r="E354" s="43"/>
      <c r="F354" s="43"/>
      <c r="G354" s="43"/>
      <c r="H354" s="43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42"/>
      <c r="B355" s="42"/>
      <c r="C355" s="43"/>
      <c r="D355" s="43"/>
      <c r="E355" s="43"/>
      <c r="F355" s="43"/>
      <c r="G355" s="43"/>
      <c r="H355" s="43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42"/>
      <c r="B356" s="42"/>
      <c r="C356" s="43"/>
      <c r="D356" s="43"/>
      <c r="E356" s="43"/>
      <c r="F356" s="43"/>
      <c r="G356" s="43"/>
      <c r="H356" s="43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42"/>
      <c r="B357" s="42"/>
      <c r="C357" s="43"/>
      <c r="D357" s="43"/>
      <c r="E357" s="43"/>
      <c r="F357" s="43"/>
      <c r="G357" s="43"/>
      <c r="H357" s="43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42"/>
      <c r="B358" s="42"/>
      <c r="C358" s="43"/>
      <c r="D358" s="43"/>
      <c r="E358" s="43"/>
      <c r="F358" s="43"/>
      <c r="G358" s="43"/>
      <c r="H358" s="43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42"/>
      <c r="B359" s="42"/>
      <c r="C359" s="43"/>
      <c r="D359" s="43"/>
      <c r="E359" s="43"/>
      <c r="F359" s="43"/>
      <c r="G359" s="43"/>
      <c r="H359" s="43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42"/>
      <c r="B360" s="42"/>
      <c r="C360" s="43"/>
      <c r="D360" s="43"/>
      <c r="E360" s="43"/>
      <c r="F360" s="43"/>
      <c r="G360" s="43"/>
      <c r="H360" s="43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42"/>
      <c r="B361" s="42"/>
      <c r="C361" s="43"/>
      <c r="D361" s="43"/>
      <c r="E361" s="43"/>
      <c r="F361" s="43"/>
      <c r="G361" s="43"/>
      <c r="H361" s="43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42"/>
      <c r="B362" s="42"/>
      <c r="C362" s="43"/>
      <c r="D362" s="43"/>
      <c r="E362" s="43"/>
      <c r="F362" s="43"/>
      <c r="G362" s="43"/>
      <c r="H362" s="43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42"/>
      <c r="B363" s="42"/>
      <c r="C363" s="43"/>
      <c r="D363" s="43"/>
      <c r="E363" s="43"/>
      <c r="F363" s="43"/>
      <c r="G363" s="43"/>
      <c r="H363" s="43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42"/>
      <c r="B364" s="42"/>
      <c r="C364" s="43"/>
      <c r="D364" s="43"/>
      <c r="E364" s="43"/>
      <c r="F364" s="43"/>
      <c r="G364" s="43"/>
      <c r="H364" s="43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42"/>
      <c r="B365" s="42"/>
      <c r="C365" s="43"/>
      <c r="D365" s="43"/>
      <c r="E365" s="43"/>
      <c r="F365" s="43"/>
      <c r="G365" s="43"/>
      <c r="H365" s="43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42"/>
      <c r="B366" s="42"/>
      <c r="C366" s="43"/>
      <c r="D366" s="43"/>
      <c r="E366" s="43"/>
      <c r="F366" s="43"/>
      <c r="G366" s="43"/>
      <c r="H366" s="43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42"/>
      <c r="B367" s="42"/>
      <c r="C367" s="43"/>
      <c r="D367" s="43"/>
      <c r="E367" s="43"/>
      <c r="F367" s="43"/>
      <c r="G367" s="43"/>
      <c r="H367" s="43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42"/>
      <c r="B368" s="42"/>
      <c r="C368" s="43"/>
      <c r="D368" s="43"/>
      <c r="E368" s="43"/>
      <c r="F368" s="43"/>
      <c r="G368" s="43"/>
      <c r="H368" s="43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42"/>
      <c r="B369" s="42"/>
      <c r="C369" s="43"/>
      <c r="D369" s="43"/>
      <c r="E369" s="43"/>
      <c r="F369" s="43"/>
      <c r="G369" s="43"/>
      <c r="H369" s="43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42"/>
      <c r="B370" s="42"/>
      <c r="C370" s="43"/>
      <c r="D370" s="43"/>
      <c r="E370" s="43"/>
      <c r="F370" s="43"/>
      <c r="G370" s="43"/>
      <c r="H370" s="43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42"/>
      <c r="B371" s="42"/>
      <c r="C371" s="43"/>
      <c r="D371" s="43"/>
      <c r="E371" s="43"/>
      <c r="F371" s="43"/>
      <c r="G371" s="43"/>
      <c r="H371" s="43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42"/>
      <c r="B372" s="42"/>
      <c r="C372" s="43"/>
      <c r="D372" s="43"/>
      <c r="E372" s="43"/>
      <c r="F372" s="43"/>
      <c r="G372" s="43"/>
      <c r="H372" s="43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42"/>
      <c r="B373" s="42"/>
      <c r="C373" s="43"/>
      <c r="D373" s="43"/>
      <c r="E373" s="43"/>
      <c r="F373" s="43"/>
      <c r="G373" s="43"/>
      <c r="H373" s="43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42"/>
      <c r="B374" s="42"/>
      <c r="C374" s="43"/>
      <c r="D374" s="43"/>
      <c r="E374" s="43"/>
      <c r="F374" s="43"/>
      <c r="G374" s="43"/>
      <c r="H374" s="43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42"/>
      <c r="B375" s="42"/>
      <c r="C375" s="43"/>
      <c r="D375" s="43"/>
      <c r="E375" s="43"/>
      <c r="F375" s="43"/>
      <c r="G375" s="43"/>
      <c r="H375" s="43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42"/>
      <c r="B376" s="42"/>
      <c r="C376" s="43"/>
      <c r="D376" s="43"/>
      <c r="E376" s="43"/>
      <c r="F376" s="43"/>
      <c r="G376" s="43"/>
      <c r="H376" s="43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42"/>
      <c r="B377" s="42"/>
      <c r="C377" s="43"/>
      <c r="D377" s="43"/>
      <c r="E377" s="43"/>
      <c r="F377" s="43"/>
      <c r="G377" s="43"/>
      <c r="H377" s="43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42"/>
      <c r="B378" s="42"/>
      <c r="C378" s="43"/>
      <c r="D378" s="43"/>
      <c r="E378" s="43"/>
      <c r="F378" s="43"/>
      <c r="G378" s="43"/>
      <c r="H378" s="43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42"/>
      <c r="B379" s="42"/>
      <c r="C379" s="43"/>
      <c r="D379" s="43"/>
      <c r="E379" s="43"/>
      <c r="F379" s="43"/>
      <c r="G379" s="43"/>
      <c r="H379" s="43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42"/>
      <c r="B380" s="42"/>
      <c r="C380" s="43"/>
      <c r="D380" s="43"/>
      <c r="E380" s="43"/>
      <c r="F380" s="43"/>
      <c r="G380" s="43"/>
      <c r="H380" s="43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42"/>
      <c r="B381" s="42"/>
      <c r="C381" s="43"/>
      <c r="D381" s="43"/>
      <c r="E381" s="43"/>
      <c r="F381" s="43"/>
      <c r="G381" s="43"/>
      <c r="H381" s="43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42"/>
      <c r="B382" s="42"/>
      <c r="C382" s="43"/>
      <c r="D382" s="43"/>
      <c r="E382" s="43"/>
      <c r="F382" s="43"/>
      <c r="G382" s="43"/>
      <c r="H382" s="43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42"/>
      <c r="B383" s="42"/>
      <c r="C383" s="43"/>
      <c r="D383" s="43"/>
      <c r="E383" s="43"/>
      <c r="F383" s="43"/>
      <c r="G383" s="43"/>
      <c r="H383" s="43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42"/>
      <c r="B384" s="42"/>
      <c r="C384" s="43"/>
      <c r="D384" s="43"/>
      <c r="E384" s="43"/>
      <c r="F384" s="43"/>
      <c r="G384" s="43"/>
      <c r="H384" s="43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42"/>
      <c r="B385" s="42"/>
      <c r="C385" s="43"/>
      <c r="D385" s="43"/>
      <c r="E385" s="43"/>
      <c r="F385" s="43"/>
      <c r="G385" s="43"/>
      <c r="H385" s="43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42"/>
      <c r="B386" s="42"/>
      <c r="C386" s="43"/>
      <c r="D386" s="43"/>
      <c r="E386" s="43"/>
      <c r="F386" s="43"/>
      <c r="G386" s="43"/>
      <c r="H386" s="43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42"/>
      <c r="B387" s="42"/>
      <c r="C387" s="43"/>
      <c r="D387" s="43"/>
      <c r="E387" s="43"/>
      <c r="F387" s="43"/>
      <c r="G387" s="43"/>
      <c r="H387" s="43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42"/>
      <c r="B388" s="42"/>
      <c r="C388" s="43"/>
      <c r="D388" s="43"/>
      <c r="E388" s="43"/>
      <c r="F388" s="43"/>
      <c r="G388" s="43"/>
      <c r="H388" s="43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42"/>
      <c r="B389" s="42"/>
      <c r="C389" s="43"/>
      <c r="D389" s="43"/>
      <c r="E389" s="43"/>
      <c r="F389" s="43"/>
      <c r="G389" s="43"/>
      <c r="H389" s="43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42"/>
      <c r="B390" s="42"/>
      <c r="C390" s="43"/>
      <c r="D390" s="43"/>
      <c r="E390" s="43"/>
      <c r="F390" s="43"/>
      <c r="G390" s="43"/>
      <c r="H390" s="43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42"/>
      <c r="B391" s="42"/>
      <c r="C391" s="43"/>
      <c r="D391" s="43"/>
      <c r="E391" s="43"/>
      <c r="F391" s="43"/>
      <c r="G391" s="43"/>
      <c r="H391" s="43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42"/>
      <c r="B392" s="42"/>
      <c r="C392" s="43"/>
      <c r="D392" s="43"/>
      <c r="E392" s="43"/>
      <c r="F392" s="43"/>
      <c r="G392" s="43"/>
      <c r="H392" s="43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42"/>
      <c r="B393" s="42"/>
      <c r="C393" s="43"/>
      <c r="D393" s="43"/>
      <c r="E393" s="43"/>
      <c r="F393" s="43"/>
      <c r="G393" s="43"/>
      <c r="H393" s="43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42"/>
      <c r="B394" s="42"/>
      <c r="C394" s="43"/>
      <c r="D394" s="43"/>
      <c r="E394" s="43"/>
      <c r="F394" s="43"/>
      <c r="G394" s="43"/>
      <c r="H394" s="43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42"/>
      <c r="B395" s="42"/>
      <c r="C395" s="43"/>
      <c r="D395" s="43"/>
      <c r="E395" s="43"/>
      <c r="F395" s="43"/>
      <c r="G395" s="43"/>
      <c r="H395" s="43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42"/>
      <c r="B396" s="42"/>
      <c r="C396" s="43"/>
      <c r="D396" s="43"/>
      <c r="E396" s="43"/>
      <c r="F396" s="43"/>
      <c r="G396" s="43"/>
      <c r="H396" s="43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42"/>
      <c r="B397" s="42"/>
      <c r="C397" s="43"/>
      <c r="D397" s="43"/>
      <c r="E397" s="43"/>
      <c r="F397" s="43"/>
      <c r="G397" s="43"/>
      <c r="H397" s="43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42"/>
      <c r="B398" s="42"/>
      <c r="C398" s="43"/>
      <c r="D398" s="43"/>
      <c r="E398" s="43"/>
      <c r="F398" s="43"/>
      <c r="G398" s="43"/>
      <c r="H398" s="43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42"/>
      <c r="B399" s="42"/>
      <c r="C399" s="43"/>
      <c r="D399" s="43"/>
      <c r="E399" s="43"/>
      <c r="F399" s="43"/>
      <c r="G399" s="43"/>
      <c r="H399" s="43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42"/>
      <c r="B400" s="42"/>
      <c r="C400" s="43"/>
      <c r="D400" s="43"/>
      <c r="E400" s="43"/>
      <c r="F400" s="43"/>
      <c r="G400" s="43"/>
      <c r="H400" s="43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42"/>
      <c r="B401" s="42"/>
      <c r="C401" s="43"/>
      <c r="D401" s="43"/>
      <c r="E401" s="43"/>
      <c r="F401" s="43"/>
      <c r="G401" s="43"/>
      <c r="H401" s="43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42"/>
      <c r="B402" s="42"/>
      <c r="C402" s="43"/>
      <c r="D402" s="43"/>
      <c r="E402" s="43"/>
      <c r="F402" s="43"/>
      <c r="G402" s="43"/>
      <c r="H402" s="43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42"/>
      <c r="B403" s="42"/>
      <c r="C403" s="43"/>
      <c r="D403" s="43"/>
      <c r="E403" s="43"/>
      <c r="F403" s="43"/>
      <c r="G403" s="43"/>
      <c r="H403" s="43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42"/>
      <c r="B404" s="42"/>
      <c r="C404" s="43"/>
      <c r="D404" s="43"/>
      <c r="E404" s="43"/>
      <c r="F404" s="43"/>
      <c r="G404" s="43"/>
      <c r="H404" s="43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42"/>
      <c r="B405" s="42"/>
      <c r="C405" s="43"/>
      <c r="D405" s="43"/>
      <c r="E405" s="43"/>
      <c r="F405" s="43"/>
      <c r="G405" s="43"/>
      <c r="H405" s="43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42"/>
      <c r="B406" s="42"/>
      <c r="C406" s="43"/>
      <c r="D406" s="43"/>
      <c r="E406" s="43"/>
      <c r="F406" s="43"/>
      <c r="G406" s="43"/>
      <c r="H406" s="43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42"/>
      <c r="B407" s="42"/>
      <c r="C407" s="43"/>
      <c r="D407" s="43"/>
      <c r="E407" s="43"/>
      <c r="F407" s="43"/>
      <c r="G407" s="43"/>
      <c r="H407" s="43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42"/>
      <c r="B408" s="42"/>
      <c r="C408" s="43"/>
      <c r="D408" s="43"/>
      <c r="E408" s="43"/>
      <c r="F408" s="43"/>
      <c r="G408" s="43"/>
      <c r="H408" s="43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42"/>
      <c r="B409" s="42"/>
      <c r="C409" s="43"/>
      <c r="D409" s="43"/>
      <c r="E409" s="43"/>
      <c r="F409" s="43"/>
      <c r="G409" s="43"/>
      <c r="H409" s="43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42"/>
      <c r="B410" s="42"/>
      <c r="C410" s="43"/>
      <c r="D410" s="43"/>
      <c r="E410" s="43"/>
      <c r="F410" s="43"/>
      <c r="G410" s="43"/>
      <c r="H410" s="43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42"/>
      <c r="B411" s="42"/>
      <c r="C411" s="43"/>
      <c r="D411" s="43"/>
      <c r="E411" s="43"/>
      <c r="F411" s="43"/>
      <c r="G411" s="43"/>
      <c r="H411" s="43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42"/>
      <c r="B412" s="42"/>
      <c r="C412" s="43"/>
      <c r="D412" s="43"/>
      <c r="E412" s="43"/>
      <c r="F412" s="43"/>
      <c r="G412" s="43"/>
      <c r="H412" s="43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42"/>
      <c r="B413" s="42"/>
      <c r="C413" s="43"/>
      <c r="D413" s="43"/>
      <c r="E413" s="43"/>
      <c r="F413" s="43"/>
      <c r="G413" s="43"/>
      <c r="H413" s="43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42"/>
      <c r="B414" s="42"/>
      <c r="C414" s="43"/>
      <c r="D414" s="43"/>
      <c r="E414" s="43"/>
      <c r="F414" s="43"/>
      <c r="G414" s="43"/>
      <c r="H414" s="43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42"/>
      <c r="B415" s="42"/>
      <c r="C415" s="43"/>
      <c r="D415" s="43"/>
      <c r="E415" s="43"/>
      <c r="F415" s="43"/>
      <c r="G415" s="43"/>
      <c r="H415" s="43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42"/>
      <c r="B416" s="42"/>
      <c r="C416" s="43"/>
      <c r="D416" s="43"/>
      <c r="E416" s="43"/>
      <c r="F416" s="43"/>
      <c r="G416" s="43"/>
      <c r="H416" s="43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42"/>
      <c r="B417" s="42"/>
      <c r="C417" s="43"/>
      <c r="D417" s="43"/>
      <c r="E417" s="43"/>
      <c r="F417" s="43"/>
      <c r="G417" s="43"/>
      <c r="H417" s="43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42"/>
      <c r="B418" s="42"/>
      <c r="C418" s="43"/>
      <c r="D418" s="43"/>
      <c r="E418" s="43"/>
      <c r="F418" s="43"/>
      <c r="G418" s="43"/>
      <c r="H418" s="43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42"/>
      <c r="B419" s="42"/>
      <c r="C419" s="43"/>
      <c r="D419" s="43"/>
      <c r="E419" s="43"/>
      <c r="F419" s="43"/>
      <c r="G419" s="43"/>
      <c r="H419" s="43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42"/>
      <c r="B420" s="42"/>
      <c r="C420" s="43"/>
      <c r="D420" s="43"/>
      <c r="E420" s="43"/>
      <c r="F420" s="43"/>
      <c r="G420" s="43"/>
      <c r="H420" s="43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42"/>
      <c r="B421" s="42"/>
      <c r="C421" s="43"/>
      <c r="D421" s="43"/>
      <c r="E421" s="43"/>
      <c r="F421" s="43"/>
      <c r="G421" s="43"/>
      <c r="H421" s="43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42"/>
      <c r="B422" s="42"/>
      <c r="C422" s="43"/>
      <c r="D422" s="43"/>
      <c r="E422" s="43"/>
      <c r="F422" s="43"/>
      <c r="G422" s="43"/>
      <c r="H422" s="43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42"/>
      <c r="B423" s="42"/>
      <c r="C423" s="43"/>
      <c r="D423" s="43"/>
      <c r="E423" s="43"/>
      <c r="F423" s="43"/>
      <c r="G423" s="43"/>
      <c r="H423" s="43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42"/>
      <c r="B424" s="42"/>
      <c r="C424" s="43"/>
      <c r="D424" s="43"/>
      <c r="E424" s="43"/>
      <c r="F424" s="43"/>
      <c r="G424" s="43"/>
      <c r="H424" s="43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42"/>
      <c r="B425" s="42"/>
      <c r="C425" s="43"/>
      <c r="D425" s="43"/>
      <c r="E425" s="43"/>
      <c r="F425" s="43"/>
      <c r="G425" s="43"/>
      <c r="H425" s="43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42"/>
      <c r="B426" s="42"/>
      <c r="C426" s="43"/>
      <c r="D426" s="43"/>
      <c r="E426" s="43"/>
      <c r="F426" s="43"/>
      <c r="G426" s="43"/>
      <c r="H426" s="43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42"/>
      <c r="B427" s="42"/>
      <c r="C427" s="43"/>
      <c r="D427" s="43"/>
      <c r="E427" s="43"/>
      <c r="F427" s="43"/>
      <c r="G427" s="43"/>
      <c r="H427" s="43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42"/>
      <c r="B428" s="42"/>
      <c r="C428" s="43"/>
      <c r="D428" s="43"/>
      <c r="E428" s="43"/>
      <c r="F428" s="43"/>
      <c r="G428" s="43"/>
      <c r="H428" s="43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42"/>
      <c r="B429" s="42"/>
      <c r="C429" s="43"/>
      <c r="D429" s="43"/>
      <c r="E429" s="43"/>
      <c r="F429" s="43"/>
      <c r="G429" s="43"/>
      <c r="H429" s="43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42"/>
      <c r="B430" s="42"/>
      <c r="C430" s="43"/>
      <c r="D430" s="43"/>
      <c r="E430" s="43"/>
      <c r="F430" s="43"/>
      <c r="G430" s="43"/>
      <c r="H430" s="43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42"/>
      <c r="B431" s="42"/>
      <c r="C431" s="43"/>
      <c r="D431" s="43"/>
      <c r="E431" s="43"/>
      <c r="F431" s="43"/>
      <c r="G431" s="43"/>
      <c r="H431" s="43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42"/>
      <c r="B432" s="42"/>
      <c r="C432" s="43"/>
      <c r="D432" s="43"/>
      <c r="E432" s="43"/>
      <c r="F432" s="43"/>
      <c r="G432" s="43"/>
      <c r="H432" s="43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42"/>
      <c r="B433" s="42"/>
      <c r="C433" s="43"/>
      <c r="D433" s="43"/>
      <c r="E433" s="43"/>
      <c r="F433" s="43"/>
      <c r="G433" s="43"/>
      <c r="H433" s="43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42"/>
      <c r="B434" s="42"/>
      <c r="C434" s="43"/>
      <c r="D434" s="43"/>
      <c r="E434" s="43"/>
      <c r="F434" s="43"/>
      <c r="G434" s="43"/>
      <c r="H434" s="43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42"/>
      <c r="B435" s="42"/>
      <c r="C435" s="43"/>
      <c r="D435" s="43"/>
      <c r="E435" s="43"/>
      <c r="F435" s="43"/>
      <c r="G435" s="43"/>
      <c r="H435" s="43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42"/>
      <c r="B436" s="42"/>
      <c r="C436" s="43"/>
      <c r="D436" s="43"/>
      <c r="E436" s="43"/>
      <c r="F436" s="43"/>
      <c r="G436" s="43"/>
      <c r="H436" s="43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42"/>
      <c r="B437" s="42"/>
      <c r="C437" s="43"/>
      <c r="D437" s="43"/>
      <c r="E437" s="43"/>
      <c r="F437" s="43"/>
      <c r="G437" s="43"/>
      <c r="H437" s="43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42"/>
      <c r="B438" s="42"/>
      <c r="C438" s="43"/>
      <c r="D438" s="43"/>
      <c r="E438" s="43"/>
      <c r="F438" s="43"/>
      <c r="G438" s="43"/>
      <c r="H438" s="43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42"/>
      <c r="B439" s="42"/>
      <c r="C439" s="43"/>
      <c r="D439" s="43"/>
      <c r="E439" s="43"/>
      <c r="F439" s="43"/>
      <c r="G439" s="43"/>
      <c r="H439" s="43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42"/>
      <c r="B440" s="42"/>
      <c r="C440" s="43"/>
      <c r="D440" s="43"/>
      <c r="E440" s="43"/>
      <c r="F440" s="43"/>
      <c r="G440" s="43"/>
      <c r="H440" s="43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42"/>
      <c r="B441" s="42"/>
      <c r="C441" s="43"/>
      <c r="D441" s="43"/>
      <c r="E441" s="43"/>
      <c r="F441" s="43"/>
      <c r="G441" s="43"/>
      <c r="H441" s="43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42"/>
      <c r="B442" s="42"/>
      <c r="C442" s="43"/>
      <c r="D442" s="43"/>
      <c r="E442" s="43"/>
      <c r="F442" s="43"/>
      <c r="G442" s="43"/>
      <c r="H442" s="43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42"/>
      <c r="B443" s="42"/>
      <c r="C443" s="43"/>
      <c r="D443" s="43"/>
      <c r="E443" s="43"/>
      <c r="F443" s="43"/>
      <c r="G443" s="43"/>
      <c r="H443" s="43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42"/>
      <c r="B444" s="42"/>
      <c r="C444" s="43"/>
      <c r="D444" s="43"/>
      <c r="E444" s="43"/>
      <c r="F444" s="43"/>
      <c r="G444" s="43"/>
      <c r="H444" s="43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42"/>
      <c r="B445" s="42"/>
      <c r="C445" s="43"/>
      <c r="D445" s="43"/>
      <c r="E445" s="43"/>
      <c r="F445" s="43"/>
      <c r="G445" s="43"/>
      <c r="H445" s="43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42"/>
      <c r="B446" s="42"/>
      <c r="C446" s="43"/>
      <c r="D446" s="43"/>
      <c r="E446" s="43"/>
      <c r="F446" s="43"/>
      <c r="G446" s="43"/>
      <c r="H446" s="43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42"/>
      <c r="B447" s="42"/>
      <c r="C447" s="43"/>
      <c r="D447" s="43"/>
      <c r="E447" s="43"/>
      <c r="F447" s="43"/>
      <c r="G447" s="43"/>
      <c r="H447" s="43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42"/>
      <c r="B448" s="42"/>
      <c r="C448" s="43"/>
      <c r="D448" s="43"/>
      <c r="E448" s="43"/>
      <c r="F448" s="43"/>
      <c r="G448" s="43"/>
      <c r="H448" s="43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42"/>
      <c r="B449" s="42"/>
      <c r="C449" s="43"/>
      <c r="D449" s="43"/>
      <c r="E449" s="43"/>
      <c r="F449" s="43"/>
      <c r="G449" s="43"/>
      <c r="H449" s="43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42"/>
      <c r="B450" s="42"/>
      <c r="C450" s="43"/>
      <c r="D450" s="43"/>
      <c r="E450" s="43"/>
      <c r="F450" s="43"/>
      <c r="G450" s="43"/>
      <c r="H450" s="43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42"/>
      <c r="B451" s="42"/>
      <c r="C451" s="43"/>
      <c r="D451" s="43"/>
      <c r="E451" s="43"/>
      <c r="F451" s="43"/>
      <c r="G451" s="43"/>
      <c r="H451" s="43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42"/>
      <c r="B452" s="42"/>
      <c r="C452" s="43"/>
      <c r="D452" s="43"/>
      <c r="E452" s="43"/>
      <c r="F452" s="43"/>
      <c r="G452" s="43"/>
      <c r="H452" s="43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42"/>
      <c r="B453" s="42"/>
      <c r="C453" s="43"/>
      <c r="D453" s="43"/>
      <c r="E453" s="43"/>
      <c r="F453" s="43"/>
      <c r="G453" s="43"/>
      <c r="H453" s="43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42"/>
      <c r="B454" s="42"/>
      <c r="C454" s="43"/>
      <c r="D454" s="43"/>
      <c r="E454" s="43"/>
      <c r="F454" s="43"/>
      <c r="G454" s="43"/>
      <c r="H454" s="43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42"/>
      <c r="B455" s="42"/>
      <c r="C455" s="43"/>
      <c r="D455" s="43"/>
      <c r="E455" s="43"/>
      <c r="F455" s="43"/>
      <c r="G455" s="43"/>
      <c r="H455" s="43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42"/>
      <c r="B456" s="42"/>
      <c r="C456" s="43"/>
      <c r="D456" s="43"/>
      <c r="E456" s="43"/>
      <c r="F456" s="43"/>
      <c r="G456" s="43"/>
      <c r="H456" s="43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42"/>
      <c r="B457" s="42"/>
      <c r="C457" s="43"/>
      <c r="D457" s="43"/>
      <c r="E457" s="43"/>
      <c r="F457" s="43"/>
      <c r="G457" s="43"/>
      <c r="H457" s="43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42"/>
      <c r="B458" s="42"/>
      <c r="C458" s="43"/>
      <c r="D458" s="43"/>
      <c r="E458" s="43"/>
      <c r="F458" s="43"/>
      <c r="G458" s="43"/>
      <c r="H458" s="43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42"/>
      <c r="B459" s="42"/>
      <c r="C459" s="43"/>
      <c r="D459" s="43"/>
      <c r="E459" s="43"/>
      <c r="F459" s="43"/>
      <c r="G459" s="43"/>
      <c r="H459" s="43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42"/>
      <c r="B460" s="42"/>
      <c r="C460" s="43"/>
      <c r="D460" s="43"/>
      <c r="E460" s="43"/>
      <c r="F460" s="43"/>
      <c r="G460" s="43"/>
      <c r="H460" s="43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42"/>
      <c r="B461" s="42"/>
      <c r="C461" s="43"/>
      <c r="D461" s="43"/>
      <c r="E461" s="43"/>
      <c r="F461" s="43"/>
      <c r="G461" s="43"/>
      <c r="H461" s="43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42"/>
      <c r="B462" s="42"/>
      <c r="C462" s="43"/>
      <c r="D462" s="43"/>
      <c r="E462" s="43"/>
      <c r="F462" s="43"/>
      <c r="G462" s="43"/>
      <c r="H462" s="43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42"/>
      <c r="B463" s="42"/>
      <c r="C463" s="43"/>
      <c r="D463" s="43"/>
      <c r="E463" s="43"/>
      <c r="F463" s="43"/>
      <c r="G463" s="43"/>
      <c r="H463" s="43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42"/>
      <c r="B464" s="42"/>
      <c r="C464" s="43"/>
      <c r="D464" s="43"/>
      <c r="E464" s="43"/>
      <c r="F464" s="43"/>
      <c r="G464" s="43"/>
      <c r="H464" s="43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42"/>
      <c r="B465" s="42"/>
      <c r="C465" s="43"/>
      <c r="D465" s="43"/>
      <c r="E465" s="43"/>
      <c r="F465" s="43"/>
      <c r="G465" s="43"/>
      <c r="H465" s="43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42"/>
      <c r="B466" s="42"/>
      <c r="C466" s="43"/>
      <c r="D466" s="43"/>
      <c r="E466" s="43"/>
      <c r="F466" s="43"/>
      <c r="G466" s="43"/>
      <c r="H466" s="43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42"/>
      <c r="B467" s="42"/>
      <c r="C467" s="43"/>
      <c r="D467" s="43"/>
      <c r="E467" s="43"/>
      <c r="F467" s="43"/>
      <c r="G467" s="43"/>
      <c r="H467" s="43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42"/>
      <c r="B468" s="42"/>
      <c r="C468" s="43"/>
      <c r="D468" s="43"/>
      <c r="E468" s="43"/>
      <c r="F468" s="43"/>
      <c r="G468" s="43"/>
      <c r="H468" s="43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42"/>
      <c r="B469" s="42"/>
      <c r="C469" s="43"/>
      <c r="D469" s="43"/>
      <c r="E469" s="43"/>
      <c r="F469" s="43"/>
      <c r="G469" s="43"/>
      <c r="H469" s="43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42"/>
      <c r="B470" s="42"/>
      <c r="C470" s="43"/>
      <c r="D470" s="43"/>
      <c r="E470" s="43"/>
      <c r="F470" s="43"/>
      <c r="G470" s="43"/>
      <c r="H470" s="43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42"/>
      <c r="B471" s="42"/>
      <c r="C471" s="43"/>
      <c r="D471" s="43"/>
      <c r="E471" s="43"/>
      <c r="F471" s="43"/>
      <c r="G471" s="43"/>
      <c r="H471" s="43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42"/>
      <c r="B472" s="42"/>
      <c r="C472" s="43"/>
      <c r="D472" s="43"/>
      <c r="E472" s="43"/>
      <c r="F472" s="43"/>
      <c r="G472" s="43"/>
      <c r="H472" s="43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42"/>
      <c r="B473" s="42"/>
      <c r="C473" s="43"/>
      <c r="D473" s="43"/>
      <c r="E473" s="43"/>
      <c r="F473" s="43"/>
      <c r="G473" s="43"/>
      <c r="H473" s="43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42"/>
      <c r="B474" s="42"/>
      <c r="C474" s="43"/>
      <c r="D474" s="43"/>
      <c r="E474" s="43"/>
      <c r="F474" s="43"/>
      <c r="G474" s="43"/>
      <c r="H474" s="43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42"/>
      <c r="B475" s="42"/>
      <c r="C475" s="43"/>
      <c r="D475" s="43"/>
      <c r="E475" s="43"/>
      <c r="F475" s="43"/>
      <c r="G475" s="43"/>
      <c r="H475" s="43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42"/>
      <c r="B476" s="42"/>
      <c r="C476" s="43"/>
      <c r="D476" s="43"/>
      <c r="E476" s="43"/>
      <c r="F476" s="43"/>
      <c r="G476" s="43"/>
      <c r="H476" s="43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42"/>
      <c r="B477" s="42"/>
      <c r="C477" s="43"/>
      <c r="D477" s="43"/>
      <c r="E477" s="43"/>
      <c r="F477" s="43"/>
      <c r="G477" s="43"/>
      <c r="H477" s="43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42"/>
      <c r="B478" s="42"/>
      <c r="C478" s="43"/>
      <c r="D478" s="43"/>
      <c r="E478" s="43"/>
      <c r="F478" s="43"/>
      <c r="G478" s="43"/>
      <c r="H478" s="43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42"/>
      <c r="B479" s="42"/>
      <c r="C479" s="43"/>
      <c r="D479" s="43"/>
      <c r="E479" s="43"/>
      <c r="F479" s="43"/>
      <c r="G479" s="43"/>
      <c r="H479" s="43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42"/>
      <c r="B480" s="42"/>
      <c r="C480" s="43"/>
      <c r="D480" s="43"/>
      <c r="E480" s="43"/>
      <c r="F480" s="43"/>
      <c r="G480" s="43"/>
      <c r="H480" s="43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42"/>
      <c r="B481" s="42"/>
      <c r="C481" s="43"/>
      <c r="D481" s="43"/>
      <c r="E481" s="43"/>
      <c r="F481" s="43"/>
      <c r="G481" s="43"/>
      <c r="H481" s="43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42"/>
      <c r="B482" s="42"/>
      <c r="C482" s="43"/>
      <c r="D482" s="43"/>
      <c r="E482" s="43"/>
      <c r="F482" s="43"/>
      <c r="G482" s="43"/>
      <c r="H482" s="43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42"/>
      <c r="B483" s="42"/>
      <c r="C483" s="43"/>
      <c r="D483" s="43"/>
      <c r="E483" s="43"/>
      <c r="F483" s="43"/>
      <c r="G483" s="43"/>
      <c r="H483" s="43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42"/>
      <c r="B484" s="42"/>
      <c r="C484" s="43"/>
      <c r="D484" s="43"/>
      <c r="E484" s="43"/>
      <c r="F484" s="43"/>
      <c r="G484" s="43"/>
      <c r="H484" s="43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42"/>
      <c r="B485" s="42"/>
      <c r="C485" s="43"/>
      <c r="D485" s="43"/>
      <c r="E485" s="43"/>
      <c r="F485" s="43"/>
      <c r="G485" s="43"/>
      <c r="H485" s="43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42"/>
      <c r="B486" s="42"/>
      <c r="C486" s="43"/>
      <c r="D486" s="43"/>
      <c r="E486" s="43"/>
      <c r="F486" s="43"/>
      <c r="G486" s="43"/>
      <c r="H486" s="43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42"/>
      <c r="B487" s="42"/>
      <c r="C487" s="43"/>
      <c r="D487" s="43"/>
      <c r="E487" s="43"/>
      <c r="F487" s="43"/>
      <c r="G487" s="43"/>
      <c r="H487" s="43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42"/>
      <c r="B488" s="42"/>
      <c r="C488" s="43"/>
      <c r="D488" s="43"/>
      <c r="E488" s="43"/>
      <c r="F488" s="43"/>
      <c r="G488" s="43"/>
      <c r="H488" s="43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42"/>
      <c r="B489" s="42"/>
      <c r="C489" s="43"/>
      <c r="D489" s="43"/>
      <c r="E489" s="43"/>
      <c r="F489" s="43"/>
      <c r="G489" s="43"/>
      <c r="H489" s="43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42"/>
      <c r="B490" s="42"/>
      <c r="C490" s="43"/>
      <c r="D490" s="43"/>
      <c r="E490" s="43"/>
      <c r="F490" s="43"/>
      <c r="G490" s="43"/>
      <c r="H490" s="43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42"/>
      <c r="B491" s="42"/>
      <c r="C491" s="43"/>
      <c r="D491" s="43"/>
      <c r="E491" s="43"/>
      <c r="F491" s="43"/>
      <c r="G491" s="43"/>
      <c r="H491" s="43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42"/>
      <c r="B492" s="42"/>
      <c r="C492" s="43"/>
      <c r="D492" s="43"/>
      <c r="E492" s="43"/>
      <c r="F492" s="43"/>
      <c r="G492" s="43"/>
      <c r="H492" s="43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42"/>
      <c r="B493" s="42"/>
      <c r="C493" s="43"/>
      <c r="D493" s="43"/>
      <c r="E493" s="43"/>
      <c r="F493" s="43"/>
      <c r="G493" s="43"/>
      <c r="H493" s="43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42"/>
      <c r="B494" s="42"/>
      <c r="C494" s="43"/>
      <c r="D494" s="43"/>
      <c r="E494" s="43"/>
      <c r="F494" s="43"/>
      <c r="G494" s="43"/>
      <c r="H494" s="43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42"/>
      <c r="B495" s="42"/>
      <c r="C495" s="43"/>
      <c r="D495" s="43"/>
      <c r="E495" s="43"/>
      <c r="F495" s="43"/>
      <c r="G495" s="43"/>
      <c r="H495" s="43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42"/>
      <c r="B496" s="42"/>
      <c r="C496" s="43"/>
      <c r="D496" s="43"/>
      <c r="E496" s="43"/>
      <c r="F496" s="43"/>
      <c r="G496" s="43"/>
      <c r="H496" s="43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42"/>
      <c r="B497" s="42"/>
      <c r="C497" s="43"/>
      <c r="D497" s="43"/>
      <c r="E497" s="43"/>
      <c r="F497" s="43"/>
      <c r="G497" s="43"/>
      <c r="H497" s="43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42"/>
      <c r="B498" s="42"/>
      <c r="C498" s="43"/>
      <c r="D498" s="43"/>
      <c r="E498" s="43"/>
      <c r="F498" s="43"/>
      <c r="G498" s="43"/>
      <c r="H498" s="43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42"/>
      <c r="B499" s="42"/>
      <c r="C499" s="43"/>
      <c r="D499" s="43"/>
      <c r="E499" s="43"/>
      <c r="F499" s="43"/>
      <c r="G499" s="43"/>
      <c r="H499" s="43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42"/>
      <c r="B500" s="42"/>
      <c r="C500" s="43"/>
      <c r="D500" s="43"/>
      <c r="E500" s="43"/>
      <c r="F500" s="43"/>
      <c r="G500" s="43"/>
      <c r="H500" s="43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42"/>
      <c r="B501" s="42"/>
      <c r="C501" s="43"/>
      <c r="D501" s="43"/>
      <c r="E501" s="43"/>
      <c r="F501" s="43"/>
      <c r="G501" s="43"/>
      <c r="H501" s="43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42"/>
      <c r="B502" s="42"/>
      <c r="C502" s="43"/>
      <c r="D502" s="43"/>
      <c r="E502" s="43"/>
      <c r="F502" s="43"/>
      <c r="G502" s="43"/>
      <c r="H502" s="43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42"/>
      <c r="B503" s="42"/>
      <c r="C503" s="43"/>
      <c r="D503" s="43"/>
      <c r="E503" s="43"/>
      <c r="F503" s="43"/>
      <c r="G503" s="43"/>
      <c r="H503" s="43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42"/>
      <c r="B504" s="42"/>
      <c r="C504" s="43"/>
      <c r="D504" s="43"/>
      <c r="E504" s="43"/>
      <c r="F504" s="43"/>
      <c r="G504" s="43"/>
      <c r="H504" s="43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42"/>
      <c r="B505" s="42"/>
      <c r="C505" s="43"/>
      <c r="D505" s="43"/>
      <c r="E505" s="43"/>
      <c r="F505" s="43"/>
      <c r="G505" s="43"/>
      <c r="H505" s="43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42"/>
      <c r="B506" s="42"/>
      <c r="C506" s="43"/>
      <c r="D506" s="43"/>
      <c r="E506" s="43"/>
      <c r="F506" s="43"/>
      <c r="G506" s="43"/>
      <c r="H506" s="43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42"/>
      <c r="B507" s="42"/>
      <c r="C507" s="43"/>
      <c r="D507" s="43"/>
      <c r="E507" s="43"/>
      <c r="F507" s="43"/>
      <c r="G507" s="43"/>
      <c r="H507" s="43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42"/>
      <c r="B508" s="42"/>
      <c r="C508" s="43"/>
      <c r="D508" s="43"/>
      <c r="E508" s="43"/>
      <c r="F508" s="43"/>
      <c r="G508" s="43"/>
      <c r="H508" s="43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42"/>
      <c r="B509" s="42"/>
      <c r="C509" s="43"/>
      <c r="D509" s="43"/>
      <c r="E509" s="43"/>
      <c r="F509" s="43"/>
      <c r="G509" s="43"/>
      <c r="H509" s="43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42"/>
      <c r="B510" s="42"/>
      <c r="C510" s="43"/>
      <c r="D510" s="43"/>
      <c r="E510" s="43"/>
      <c r="F510" s="43"/>
      <c r="G510" s="43"/>
      <c r="H510" s="43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42"/>
      <c r="B511" s="42"/>
      <c r="C511" s="43"/>
      <c r="D511" s="43"/>
      <c r="E511" s="43"/>
      <c r="F511" s="43"/>
      <c r="G511" s="43"/>
      <c r="H511" s="43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42"/>
      <c r="B512" s="42"/>
      <c r="C512" s="43"/>
      <c r="D512" s="43"/>
      <c r="E512" s="43"/>
      <c r="F512" s="43"/>
      <c r="G512" s="43"/>
      <c r="H512" s="43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42"/>
      <c r="B513" s="42"/>
      <c r="C513" s="43"/>
      <c r="D513" s="43"/>
      <c r="E513" s="43"/>
      <c r="F513" s="43"/>
      <c r="G513" s="43"/>
      <c r="H513" s="43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42"/>
      <c r="B514" s="42"/>
      <c r="C514" s="43"/>
      <c r="D514" s="43"/>
      <c r="E514" s="43"/>
      <c r="F514" s="43"/>
      <c r="G514" s="43"/>
      <c r="H514" s="43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42"/>
      <c r="B515" s="42"/>
      <c r="C515" s="43"/>
      <c r="D515" s="43"/>
      <c r="E515" s="43"/>
      <c r="F515" s="43"/>
      <c r="G515" s="43"/>
      <c r="H515" s="43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42"/>
      <c r="B516" s="42"/>
      <c r="C516" s="43"/>
      <c r="D516" s="43"/>
      <c r="E516" s="43"/>
      <c r="F516" s="43"/>
      <c r="G516" s="43"/>
      <c r="H516" s="43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42"/>
      <c r="B517" s="42"/>
      <c r="C517" s="43"/>
      <c r="D517" s="43"/>
      <c r="E517" s="43"/>
      <c r="F517" s="43"/>
      <c r="G517" s="43"/>
      <c r="H517" s="43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42"/>
      <c r="B518" s="42"/>
      <c r="C518" s="43"/>
      <c r="D518" s="43"/>
      <c r="E518" s="43"/>
      <c r="F518" s="43"/>
      <c r="G518" s="43"/>
      <c r="H518" s="43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42"/>
      <c r="B519" s="42"/>
      <c r="C519" s="43"/>
      <c r="D519" s="43"/>
      <c r="E519" s="43"/>
      <c r="F519" s="43"/>
      <c r="G519" s="43"/>
      <c r="H519" s="43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42"/>
      <c r="B520" s="42"/>
      <c r="C520" s="43"/>
      <c r="D520" s="43"/>
      <c r="E520" s="43"/>
      <c r="F520" s="43"/>
      <c r="G520" s="43"/>
      <c r="H520" s="43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42"/>
      <c r="B521" s="42"/>
      <c r="C521" s="43"/>
      <c r="D521" s="43"/>
      <c r="E521" s="43"/>
      <c r="F521" s="43"/>
      <c r="G521" s="43"/>
      <c r="H521" s="43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42"/>
      <c r="B522" s="42"/>
      <c r="C522" s="43"/>
      <c r="D522" s="43"/>
      <c r="E522" s="43"/>
      <c r="F522" s="43"/>
      <c r="G522" s="43"/>
      <c r="H522" s="43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42"/>
      <c r="B523" s="42"/>
      <c r="C523" s="43"/>
      <c r="D523" s="43"/>
      <c r="E523" s="43"/>
      <c r="F523" s="43"/>
      <c r="G523" s="43"/>
      <c r="H523" s="43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42"/>
      <c r="B524" s="42"/>
      <c r="C524" s="43"/>
      <c r="D524" s="43"/>
      <c r="E524" s="43"/>
      <c r="F524" s="43"/>
      <c r="G524" s="43"/>
      <c r="H524" s="43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42"/>
      <c r="B525" s="42"/>
      <c r="C525" s="43"/>
      <c r="D525" s="43"/>
      <c r="E525" s="43"/>
      <c r="F525" s="43"/>
      <c r="G525" s="43"/>
      <c r="H525" s="43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42"/>
      <c r="B526" s="42"/>
      <c r="C526" s="43"/>
      <c r="D526" s="43"/>
      <c r="E526" s="43"/>
      <c r="F526" s="43"/>
      <c r="G526" s="43"/>
      <c r="H526" s="43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42"/>
      <c r="B527" s="42"/>
      <c r="C527" s="43"/>
      <c r="D527" s="43"/>
      <c r="E527" s="43"/>
      <c r="F527" s="43"/>
      <c r="G527" s="43"/>
      <c r="H527" s="43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42"/>
      <c r="B528" s="42"/>
      <c r="C528" s="43"/>
      <c r="D528" s="43"/>
      <c r="E528" s="43"/>
      <c r="F528" s="43"/>
      <c r="G528" s="43"/>
      <c r="H528" s="43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42"/>
      <c r="B529" s="42"/>
      <c r="C529" s="43"/>
      <c r="D529" s="43"/>
      <c r="E529" s="43"/>
      <c r="F529" s="43"/>
      <c r="G529" s="43"/>
      <c r="H529" s="43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42"/>
      <c r="B530" s="42"/>
      <c r="C530" s="43"/>
      <c r="D530" s="43"/>
      <c r="E530" s="43"/>
      <c r="F530" s="43"/>
      <c r="G530" s="43"/>
      <c r="H530" s="43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42"/>
      <c r="B531" s="42"/>
      <c r="C531" s="43"/>
      <c r="D531" s="43"/>
      <c r="E531" s="43"/>
      <c r="F531" s="43"/>
      <c r="G531" s="43"/>
      <c r="H531" s="43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42"/>
      <c r="B532" s="42"/>
      <c r="C532" s="43"/>
      <c r="D532" s="43"/>
      <c r="E532" s="43"/>
      <c r="F532" s="43"/>
      <c r="G532" s="43"/>
      <c r="H532" s="43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42"/>
      <c r="B533" s="42"/>
      <c r="C533" s="43"/>
      <c r="D533" s="43"/>
      <c r="E533" s="43"/>
      <c r="F533" s="43"/>
      <c r="G533" s="43"/>
      <c r="H533" s="43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42"/>
      <c r="B534" s="42"/>
      <c r="C534" s="43"/>
      <c r="D534" s="43"/>
      <c r="E534" s="43"/>
      <c r="F534" s="43"/>
      <c r="G534" s="43"/>
      <c r="H534" s="43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42"/>
      <c r="B535" s="42"/>
      <c r="C535" s="43"/>
      <c r="D535" s="43"/>
      <c r="E535" s="43"/>
      <c r="F535" s="43"/>
      <c r="G535" s="43"/>
      <c r="H535" s="43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42"/>
      <c r="B536" s="42"/>
      <c r="C536" s="43"/>
      <c r="D536" s="43"/>
      <c r="E536" s="43"/>
      <c r="F536" s="43"/>
      <c r="G536" s="43"/>
      <c r="H536" s="43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42"/>
      <c r="B537" s="42"/>
      <c r="C537" s="43"/>
      <c r="D537" s="43"/>
      <c r="E537" s="43"/>
      <c r="F537" s="43"/>
      <c r="G537" s="43"/>
      <c r="H537" s="43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42"/>
      <c r="B538" s="42"/>
      <c r="C538" s="43"/>
      <c r="D538" s="43"/>
      <c r="E538" s="43"/>
      <c r="F538" s="43"/>
      <c r="G538" s="43"/>
      <c r="H538" s="43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42"/>
      <c r="B539" s="42"/>
      <c r="C539" s="43"/>
      <c r="D539" s="43"/>
      <c r="E539" s="43"/>
      <c r="F539" s="43"/>
      <c r="G539" s="43"/>
      <c r="H539" s="43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42"/>
      <c r="B540" s="42"/>
      <c r="C540" s="43"/>
      <c r="D540" s="43"/>
      <c r="E540" s="43"/>
      <c r="F540" s="43"/>
      <c r="G540" s="43"/>
      <c r="H540" s="43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42"/>
      <c r="B541" s="42"/>
      <c r="C541" s="43"/>
      <c r="D541" s="43"/>
      <c r="E541" s="43"/>
      <c r="F541" s="43"/>
      <c r="G541" s="43"/>
      <c r="H541" s="43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42"/>
      <c r="B542" s="42"/>
      <c r="C542" s="43"/>
      <c r="D542" s="43"/>
      <c r="E542" s="43"/>
      <c r="F542" s="43"/>
      <c r="G542" s="43"/>
      <c r="H542" s="43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42"/>
      <c r="B543" s="42"/>
      <c r="C543" s="43"/>
      <c r="D543" s="43"/>
      <c r="E543" s="43"/>
      <c r="F543" s="43"/>
      <c r="G543" s="43"/>
      <c r="H543" s="43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42"/>
      <c r="B544" s="42"/>
      <c r="C544" s="43"/>
      <c r="D544" s="43"/>
      <c r="E544" s="43"/>
      <c r="F544" s="43"/>
      <c r="G544" s="43"/>
      <c r="H544" s="43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42"/>
      <c r="B545" s="42"/>
      <c r="C545" s="43"/>
      <c r="D545" s="43"/>
      <c r="E545" s="43"/>
      <c r="F545" s="43"/>
      <c r="G545" s="43"/>
      <c r="H545" s="43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42"/>
      <c r="B546" s="42"/>
      <c r="C546" s="43"/>
      <c r="D546" s="43"/>
      <c r="E546" s="43"/>
      <c r="F546" s="43"/>
      <c r="G546" s="43"/>
      <c r="H546" s="43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42"/>
      <c r="B547" s="42"/>
      <c r="C547" s="43"/>
      <c r="D547" s="43"/>
      <c r="E547" s="43"/>
      <c r="F547" s="43"/>
      <c r="G547" s="43"/>
      <c r="H547" s="43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42"/>
      <c r="B548" s="42"/>
      <c r="C548" s="43"/>
      <c r="D548" s="43"/>
      <c r="E548" s="43"/>
      <c r="F548" s="43"/>
      <c r="G548" s="43"/>
      <c r="H548" s="43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42"/>
      <c r="B549" s="42"/>
      <c r="C549" s="43"/>
      <c r="D549" s="43"/>
      <c r="E549" s="43"/>
      <c r="F549" s="43"/>
      <c r="G549" s="43"/>
      <c r="H549" s="43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42"/>
      <c r="B550" s="42"/>
      <c r="C550" s="43"/>
      <c r="D550" s="43"/>
      <c r="E550" s="43"/>
      <c r="F550" s="43"/>
      <c r="G550" s="43"/>
      <c r="H550" s="43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42"/>
      <c r="B551" s="42"/>
      <c r="C551" s="43"/>
      <c r="D551" s="43"/>
      <c r="E551" s="43"/>
      <c r="F551" s="43"/>
      <c r="G551" s="43"/>
      <c r="H551" s="43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42"/>
      <c r="B552" s="42"/>
      <c r="C552" s="43"/>
      <c r="D552" s="43"/>
      <c r="E552" s="43"/>
      <c r="F552" s="43"/>
      <c r="G552" s="43"/>
      <c r="H552" s="43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42"/>
      <c r="B553" s="42"/>
      <c r="C553" s="43"/>
      <c r="D553" s="43"/>
      <c r="E553" s="43"/>
      <c r="F553" s="43"/>
      <c r="G553" s="43"/>
      <c r="H553" s="43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42"/>
      <c r="B554" s="42"/>
      <c r="C554" s="43"/>
      <c r="D554" s="43"/>
      <c r="E554" s="43"/>
      <c r="F554" s="43"/>
      <c r="G554" s="43"/>
      <c r="H554" s="43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42"/>
      <c r="B555" s="42"/>
      <c r="C555" s="43"/>
      <c r="D555" s="43"/>
      <c r="E555" s="43"/>
      <c r="F555" s="43"/>
      <c r="G555" s="43"/>
      <c r="H555" s="43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42"/>
      <c r="B556" s="42"/>
      <c r="C556" s="43"/>
      <c r="D556" s="43"/>
      <c r="E556" s="43"/>
      <c r="F556" s="43"/>
      <c r="G556" s="43"/>
      <c r="H556" s="43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42"/>
      <c r="B557" s="42"/>
      <c r="C557" s="43"/>
      <c r="D557" s="43"/>
      <c r="E557" s="43"/>
      <c r="F557" s="43"/>
      <c r="G557" s="43"/>
      <c r="H557" s="43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42"/>
      <c r="B558" s="42"/>
      <c r="C558" s="43"/>
      <c r="D558" s="43"/>
      <c r="E558" s="43"/>
      <c r="F558" s="43"/>
      <c r="G558" s="43"/>
      <c r="H558" s="43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42"/>
      <c r="B559" s="42"/>
      <c r="C559" s="43"/>
      <c r="D559" s="43"/>
      <c r="E559" s="43"/>
      <c r="F559" s="43"/>
      <c r="G559" s="43"/>
      <c r="H559" s="43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42"/>
      <c r="B560" s="42"/>
      <c r="C560" s="43"/>
      <c r="D560" s="43"/>
      <c r="E560" s="43"/>
      <c r="F560" s="43"/>
      <c r="G560" s="43"/>
      <c r="H560" s="43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42"/>
      <c r="B561" s="42"/>
      <c r="C561" s="43"/>
      <c r="D561" s="43"/>
      <c r="E561" s="43"/>
      <c r="F561" s="43"/>
      <c r="G561" s="43"/>
      <c r="H561" s="43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42"/>
      <c r="B562" s="42"/>
      <c r="C562" s="43"/>
      <c r="D562" s="43"/>
      <c r="E562" s="43"/>
      <c r="F562" s="43"/>
      <c r="G562" s="43"/>
      <c r="H562" s="43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42"/>
      <c r="B563" s="42"/>
      <c r="C563" s="43"/>
      <c r="D563" s="43"/>
      <c r="E563" s="43"/>
      <c r="F563" s="43"/>
      <c r="G563" s="43"/>
      <c r="H563" s="43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42"/>
      <c r="B564" s="42"/>
      <c r="C564" s="43"/>
      <c r="D564" s="43"/>
      <c r="E564" s="43"/>
      <c r="F564" s="43"/>
      <c r="G564" s="43"/>
      <c r="H564" s="43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42"/>
      <c r="B565" s="42"/>
      <c r="C565" s="43"/>
      <c r="D565" s="43"/>
      <c r="E565" s="43"/>
      <c r="F565" s="43"/>
      <c r="G565" s="43"/>
      <c r="H565" s="43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42"/>
      <c r="B566" s="42"/>
      <c r="C566" s="43"/>
      <c r="D566" s="43"/>
      <c r="E566" s="43"/>
      <c r="F566" s="43"/>
      <c r="G566" s="43"/>
      <c r="H566" s="43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42"/>
      <c r="B567" s="42"/>
      <c r="C567" s="43"/>
      <c r="D567" s="43"/>
      <c r="E567" s="43"/>
      <c r="F567" s="43"/>
      <c r="G567" s="43"/>
      <c r="H567" s="43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42"/>
      <c r="B568" s="42"/>
      <c r="C568" s="43"/>
      <c r="D568" s="43"/>
      <c r="E568" s="43"/>
      <c r="F568" s="43"/>
      <c r="G568" s="43"/>
      <c r="H568" s="43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42"/>
      <c r="B569" s="42"/>
      <c r="C569" s="43"/>
      <c r="D569" s="43"/>
      <c r="E569" s="43"/>
      <c r="F569" s="43"/>
      <c r="G569" s="43"/>
      <c r="H569" s="43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42"/>
      <c r="B570" s="42"/>
      <c r="C570" s="43"/>
      <c r="D570" s="43"/>
      <c r="E570" s="43"/>
      <c r="F570" s="43"/>
      <c r="G570" s="43"/>
      <c r="H570" s="43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42"/>
      <c r="B571" s="42"/>
      <c r="C571" s="43"/>
      <c r="D571" s="43"/>
      <c r="E571" s="43"/>
      <c r="F571" s="43"/>
      <c r="G571" s="43"/>
      <c r="H571" s="43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42"/>
      <c r="B572" s="42"/>
      <c r="C572" s="43"/>
      <c r="D572" s="43"/>
      <c r="E572" s="43"/>
      <c r="F572" s="43"/>
      <c r="G572" s="43"/>
      <c r="H572" s="43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42"/>
      <c r="B573" s="42"/>
      <c r="C573" s="43"/>
      <c r="D573" s="43"/>
      <c r="E573" s="43"/>
      <c r="F573" s="43"/>
      <c r="G573" s="43"/>
      <c r="H573" s="43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42"/>
      <c r="B574" s="42"/>
      <c r="C574" s="43"/>
      <c r="D574" s="43"/>
      <c r="E574" s="43"/>
      <c r="F574" s="43"/>
      <c r="G574" s="43"/>
      <c r="H574" s="43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42"/>
      <c r="B575" s="42"/>
      <c r="C575" s="43"/>
      <c r="D575" s="43"/>
      <c r="E575" s="43"/>
      <c r="F575" s="43"/>
      <c r="G575" s="43"/>
      <c r="H575" s="43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42"/>
      <c r="B576" s="42"/>
      <c r="C576" s="43"/>
      <c r="D576" s="43"/>
      <c r="E576" s="43"/>
      <c r="F576" s="43"/>
      <c r="G576" s="43"/>
      <c r="H576" s="43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42"/>
      <c r="B577" s="42"/>
      <c r="C577" s="43"/>
      <c r="D577" s="43"/>
      <c r="E577" s="43"/>
      <c r="F577" s="43"/>
      <c r="G577" s="43"/>
      <c r="H577" s="43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42"/>
      <c r="B578" s="42"/>
      <c r="C578" s="43"/>
      <c r="D578" s="43"/>
      <c r="E578" s="43"/>
      <c r="F578" s="43"/>
      <c r="G578" s="43"/>
      <c r="H578" s="43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42"/>
      <c r="B579" s="42"/>
      <c r="C579" s="43"/>
      <c r="D579" s="43"/>
      <c r="E579" s="43"/>
      <c r="F579" s="43"/>
      <c r="G579" s="43"/>
      <c r="H579" s="43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42"/>
      <c r="B580" s="42"/>
      <c r="C580" s="43"/>
      <c r="D580" s="43"/>
      <c r="E580" s="43"/>
      <c r="F580" s="43"/>
      <c r="G580" s="43"/>
      <c r="H580" s="43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42"/>
      <c r="B581" s="42"/>
      <c r="C581" s="43"/>
      <c r="D581" s="43"/>
      <c r="E581" s="43"/>
      <c r="F581" s="43"/>
      <c r="G581" s="43"/>
      <c r="H581" s="43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42"/>
      <c r="B582" s="42"/>
      <c r="C582" s="43"/>
      <c r="D582" s="43"/>
      <c r="E582" s="43"/>
      <c r="F582" s="43"/>
      <c r="G582" s="43"/>
      <c r="H582" s="43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42"/>
      <c r="B583" s="42"/>
      <c r="C583" s="43"/>
      <c r="D583" s="43"/>
      <c r="E583" s="43"/>
      <c r="F583" s="43"/>
      <c r="G583" s="43"/>
      <c r="H583" s="43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42"/>
      <c r="B584" s="42"/>
      <c r="C584" s="43"/>
      <c r="D584" s="43"/>
      <c r="E584" s="43"/>
      <c r="F584" s="43"/>
      <c r="G584" s="43"/>
      <c r="H584" s="43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42"/>
      <c r="B585" s="42"/>
      <c r="C585" s="43"/>
      <c r="D585" s="43"/>
      <c r="E585" s="43"/>
      <c r="F585" s="43"/>
      <c r="G585" s="43"/>
      <c r="H585" s="43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42"/>
      <c r="B586" s="42"/>
      <c r="C586" s="43"/>
      <c r="D586" s="43"/>
      <c r="E586" s="43"/>
      <c r="F586" s="43"/>
      <c r="G586" s="43"/>
      <c r="H586" s="43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42"/>
      <c r="B587" s="42"/>
      <c r="C587" s="43"/>
      <c r="D587" s="43"/>
      <c r="E587" s="43"/>
      <c r="F587" s="43"/>
      <c r="G587" s="43"/>
      <c r="H587" s="43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42"/>
      <c r="B588" s="42"/>
      <c r="C588" s="43"/>
      <c r="D588" s="43"/>
      <c r="E588" s="43"/>
      <c r="F588" s="43"/>
      <c r="G588" s="43"/>
      <c r="H588" s="43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42"/>
      <c r="B589" s="42"/>
      <c r="C589" s="43"/>
      <c r="D589" s="43"/>
      <c r="E589" s="43"/>
      <c r="F589" s="43"/>
      <c r="G589" s="43"/>
      <c r="H589" s="43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42"/>
      <c r="B590" s="42"/>
      <c r="C590" s="43"/>
      <c r="D590" s="43"/>
      <c r="E590" s="43"/>
      <c r="F590" s="43"/>
      <c r="G590" s="43"/>
      <c r="H590" s="43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42"/>
      <c r="B591" s="42"/>
      <c r="C591" s="43"/>
      <c r="D591" s="43"/>
      <c r="E591" s="43"/>
      <c r="F591" s="43"/>
      <c r="G591" s="43"/>
      <c r="H591" s="43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42"/>
      <c r="B592" s="42"/>
      <c r="C592" s="43"/>
      <c r="D592" s="43"/>
      <c r="E592" s="43"/>
      <c r="F592" s="43"/>
      <c r="G592" s="43"/>
      <c r="H592" s="43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42"/>
      <c r="B593" s="42"/>
      <c r="C593" s="43"/>
      <c r="D593" s="43"/>
      <c r="E593" s="43"/>
      <c r="F593" s="43"/>
      <c r="G593" s="43"/>
      <c r="H593" s="43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42"/>
      <c r="B594" s="42"/>
      <c r="C594" s="43"/>
      <c r="D594" s="43"/>
      <c r="E594" s="43"/>
      <c r="F594" s="43"/>
      <c r="G594" s="43"/>
      <c r="H594" s="43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42"/>
      <c r="B595" s="42"/>
      <c r="C595" s="43"/>
      <c r="D595" s="43"/>
      <c r="E595" s="43"/>
      <c r="F595" s="43"/>
      <c r="G595" s="43"/>
      <c r="H595" s="43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42"/>
      <c r="B596" s="42"/>
      <c r="C596" s="43"/>
      <c r="D596" s="43"/>
      <c r="E596" s="43"/>
      <c r="F596" s="43"/>
      <c r="G596" s="43"/>
      <c r="H596" s="43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42"/>
      <c r="B597" s="42"/>
      <c r="C597" s="43"/>
      <c r="D597" s="43"/>
      <c r="E597" s="43"/>
      <c r="F597" s="43"/>
      <c r="G597" s="43"/>
      <c r="H597" s="43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42"/>
      <c r="B598" s="42"/>
      <c r="C598" s="43"/>
      <c r="D598" s="43"/>
      <c r="E598" s="43"/>
      <c r="F598" s="43"/>
      <c r="G598" s="43"/>
      <c r="H598" s="43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42"/>
      <c r="B599" s="42"/>
      <c r="C599" s="43"/>
      <c r="D599" s="43"/>
      <c r="E599" s="43"/>
      <c r="F599" s="43"/>
      <c r="G599" s="43"/>
      <c r="H599" s="43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42"/>
      <c r="B600" s="42"/>
      <c r="C600" s="43"/>
      <c r="D600" s="43"/>
      <c r="E600" s="43"/>
      <c r="F600" s="43"/>
      <c r="G600" s="43"/>
      <c r="H600" s="43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42"/>
      <c r="B601" s="42"/>
      <c r="C601" s="43"/>
      <c r="D601" s="43"/>
      <c r="E601" s="43"/>
      <c r="F601" s="43"/>
      <c r="G601" s="43"/>
      <c r="H601" s="43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42"/>
      <c r="B602" s="42"/>
      <c r="C602" s="43"/>
      <c r="D602" s="43"/>
      <c r="E602" s="43"/>
      <c r="F602" s="43"/>
      <c r="G602" s="43"/>
      <c r="H602" s="43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42"/>
      <c r="B603" s="42"/>
      <c r="C603" s="43"/>
      <c r="D603" s="43"/>
      <c r="E603" s="43"/>
      <c r="F603" s="43"/>
      <c r="G603" s="43"/>
      <c r="H603" s="43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42"/>
      <c r="B604" s="42"/>
      <c r="C604" s="43"/>
      <c r="D604" s="43"/>
      <c r="E604" s="43"/>
      <c r="F604" s="43"/>
      <c r="G604" s="43"/>
      <c r="H604" s="43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42"/>
      <c r="B605" s="42"/>
      <c r="C605" s="43"/>
      <c r="D605" s="43"/>
      <c r="E605" s="43"/>
      <c r="F605" s="43"/>
      <c r="G605" s="43"/>
      <c r="H605" s="43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42"/>
      <c r="B606" s="42"/>
      <c r="C606" s="43"/>
      <c r="D606" s="43"/>
      <c r="E606" s="43"/>
      <c r="F606" s="43"/>
      <c r="G606" s="43"/>
      <c r="H606" s="43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42"/>
      <c r="B607" s="42"/>
      <c r="C607" s="43"/>
      <c r="D607" s="43"/>
      <c r="E607" s="43"/>
      <c r="F607" s="43"/>
      <c r="G607" s="43"/>
      <c r="H607" s="43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42"/>
      <c r="B608" s="42"/>
      <c r="C608" s="43"/>
      <c r="D608" s="43"/>
      <c r="E608" s="43"/>
      <c r="F608" s="43"/>
      <c r="G608" s="43"/>
      <c r="H608" s="43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42"/>
      <c r="B609" s="42"/>
      <c r="C609" s="43"/>
      <c r="D609" s="43"/>
      <c r="E609" s="43"/>
      <c r="F609" s="43"/>
      <c r="G609" s="43"/>
      <c r="H609" s="43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42"/>
      <c r="B610" s="42"/>
      <c r="C610" s="43"/>
      <c r="D610" s="43"/>
      <c r="E610" s="43"/>
      <c r="F610" s="43"/>
      <c r="G610" s="43"/>
      <c r="H610" s="43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42"/>
      <c r="B611" s="42"/>
      <c r="C611" s="43"/>
      <c r="D611" s="43"/>
      <c r="E611" s="43"/>
      <c r="F611" s="43"/>
      <c r="G611" s="43"/>
      <c r="H611" s="43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42"/>
      <c r="B612" s="42"/>
      <c r="C612" s="43"/>
      <c r="D612" s="43"/>
      <c r="E612" s="43"/>
      <c r="F612" s="43"/>
      <c r="G612" s="43"/>
      <c r="H612" s="43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42"/>
      <c r="B613" s="42"/>
      <c r="C613" s="43"/>
      <c r="D613" s="43"/>
      <c r="E613" s="43"/>
      <c r="F613" s="43"/>
      <c r="G613" s="43"/>
      <c r="H613" s="43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42"/>
      <c r="B614" s="42"/>
      <c r="C614" s="43"/>
      <c r="D614" s="43"/>
      <c r="E614" s="43"/>
      <c r="F614" s="43"/>
      <c r="G614" s="43"/>
      <c r="H614" s="43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42"/>
      <c r="B615" s="42"/>
      <c r="C615" s="43"/>
      <c r="D615" s="43"/>
      <c r="E615" s="43"/>
      <c r="F615" s="43"/>
      <c r="G615" s="43"/>
      <c r="H615" s="43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42"/>
      <c r="B616" s="42"/>
      <c r="C616" s="43"/>
      <c r="D616" s="43"/>
      <c r="E616" s="43"/>
      <c r="F616" s="43"/>
      <c r="G616" s="43"/>
      <c r="H616" s="43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42"/>
      <c r="B617" s="42"/>
      <c r="C617" s="43"/>
      <c r="D617" s="43"/>
      <c r="E617" s="43"/>
      <c r="F617" s="43"/>
      <c r="G617" s="43"/>
      <c r="H617" s="43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42"/>
      <c r="B618" s="42"/>
      <c r="C618" s="43"/>
      <c r="D618" s="43"/>
      <c r="E618" s="43"/>
      <c r="F618" s="43"/>
      <c r="G618" s="43"/>
      <c r="H618" s="43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42"/>
      <c r="B619" s="42"/>
      <c r="C619" s="43"/>
      <c r="D619" s="43"/>
      <c r="E619" s="43"/>
      <c r="F619" s="43"/>
      <c r="G619" s="43"/>
      <c r="H619" s="43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42"/>
      <c r="B620" s="42"/>
      <c r="C620" s="43"/>
      <c r="D620" s="43"/>
      <c r="E620" s="43"/>
      <c r="F620" s="43"/>
      <c r="G620" s="43"/>
      <c r="H620" s="43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42"/>
      <c r="B621" s="42"/>
      <c r="C621" s="43"/>
      <c r="D621" s="43"/>
      <c r="E621" s="43"/>
      <c r="F621" s="43"/>
      <c r="G621" s="43"/>
      <c r="H621" s="43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42"/>
      <c r="B622" s="42"/>
      <c r="C622" s="43"/>
      <c r="D622" s="43"/>
      <c r="E622" s="43"/>
      <c r="F622" s="43"/>
      <c r="G622" s="43"/>
      <c r="H622" s="43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42"/>
      <c r="B623" s="42"/>
      <c r="C623" s="43"/>
      <c r="D623" s="43"/>
      <c r="E623" s="43"/>
      <c r="F623" s="43"/>
      <c r="G623" s="43"/>
      <c r="H623" s="43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42"/>
      <c r="B624" s="42"/>
      <c r="C624" s="43"/>
      <c r="D624" s="43"/>
      <c r="E624" s="43"/>
      <c r="F624" s="43"/>
      <c r="G624" s="43"/>
      <c r="H624" s="43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42"/>
      <c r="B625" s="42"/>
      <c r="C625" s="43"/>
      <c r="D625" s="43"/>
      <c r="E625" s="43"/>
      <c r="F625" s="43"/>
      <c r="G625" s="43"/>
      <c r="H625" s="43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42"/>
      <c r="B626" s="42"/>
      <c r="C626" s="43"/>
      <c r="D626" s="43"/>
      <c r="E626" s="43"/>
      <c r="F626" s="43"/>
      <c r="G626" s="43"/>
      <c r="H626" s="43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42"/>
      <c r="B627" s="42"/>
      <c r="C627" s="43"/>
      <c r="D627" s="43"/>
      <c r="E627" s="43"/>
      <c r="F627" s="43"/>
      <c r="G627" s="43"/>
      <c r="H627" s="43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42"/>
      <c r="B628" s="42"/>
      <c r="C628" s="43"/>
      <c r="D628" s="43"/>
      <c r="E628" s="43"/>
      <c r="F628" s="43"/>
      <c r="G628" s="43"/>
      <c r="H628" s="43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42"/>
      <c r="B629" s="42"/>
      <c r="C629" s="43"/>
      <c r="D629" s="43"/>
      <c r="E629" s="43"/>
      <c r="F629" s="43"/>
      <c r="G629" s="43"/>
      <c r="H629" s="43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42"/>
      <c r="B630" s="42"/>
      <c r="C630" s="43"/>
      <c r="D630" s="43"/>
      <c r="E630" s="43"/>
      <c r="F630" s="43"/>
      <c r="G630" s="43"/>
      <c r="H630" s="43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42"/>
      <c r="B631" s="42"/>
      <c r="C631" s="43"/>
      <c r="D631" s="43"/>
      <c r="E631" s="43"/>
      <c r="F631" s="43"/>
      <c r="G631" s="43"/>
      <c r="H631" s="43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42"/>
      <c r="B632" s="42"/>
      <c r="C632" s="43"/>
      <c r="D632" s="43"/>
      <c r="E632" s="43"/>
      <c r="F632" s="43"/>
      <c r="G632" s="43"/>
      <c r="H632" s="43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42"/>
      <c r="B633" s="42"/>
      <c r="C633" s="43"/>
      <c r="D633" s="43"/>
      <c r="E633" s="43"/>
      <c r="F633" s="43"/>
      <c r="G633" s="43"/>
      <c r="H633" s="43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42"/>
      <c r="B634" s="42"/>
      <c r="C634" s="43"/>
      <c r="D634" s="43"/>
      <c r="E634" s="43"/>
      <c r="F634" s="43"/>
      <c r="G634" s="43"/>
      <c r="H634" s="43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42"/>
      <c r="B635" s="42"/>
      <c r="C635" s="43"/>
      <c r="D635" s="43"/>
      <c r="E635" s="43"/>
      <c r="F635" s="43"/>
      <c r="G635" s="43"/>
      <c r="H635" s="43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42"/>
      <c r="B636" s="42"/>
      <c r="C636" s="43"/>
      <c r="D636" s="43"/>
      <c r="E636" s="43"/>
      <c r="F636" s="43"/>
      <c r="G636" s="43"/>
      <c r="H636" s="43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42"/>
      <c r="B637" s="42"/>
      <c r="C637" s="43"/>
      <c r="D637" s="43"/>
      <c r="E637" s="43"/>
      <c r="F637" s="43"/>
      <c r="G637" s="43"/>
      <c r="H637" s="43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42"/>
      <c r="B638" s="42"/>
      <c r="C638" s="43"/>
      <c r="D638" s="43"/>
      <c r="E638" s="43"/>
      <c r="F638" s="43"/>
      <c r="G638" s="43"/>
      <c r="H638" s="43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42"/>
      <c r="B639" s="42"/>
      <c r="C639" s="43"/>
      <c r="D639" s="43"/>
      <c r="E639" s="43"/>
      <c r="F639" s="43"/>
      <c r="G639" s="43"/>
      <c r="H639" s="43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42"/>
      <c r="B640" s="42"/>
      <c r="C640" s="43"/>
      <c r="D640" s="43"/>
      <c r="E640" s="43"/>
      <c r="F640" s="43"/>
      <c r="G640" s="43"/>
      <c r="H640" s="43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42"/>
      <c r="B641" s="42"/>
      <c r="C641" s="43"/>
      <c r="D641" s="43"/>
      <c r="E641" s="43"/>
      <c r="F641" s="43"/>
      <c r="G641" s="43"/>
      <c r="H641" s="43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42"/>
      <c r="B642" s="42"/>
      <c r="C642" s="43"/>
      <c r="D642" s="43"/>
      <c r="E642" s="43"/>
      <c r="F642" s="43"/>
      <c r="G642" s="43"/>
      <c r="H642" s="43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42"/>
      <c r="B643" s="42"/>
      <c r="C643" s="43"/>
      <c r="D643" s="43"/>
      <c r="E643" s="43"/>
      <c r="F643" s="43"/>
      <c r="G643" s="43"/>
      <c r="H643" s="43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42"/>
      <c r="B644" s="42"/>
      <c r="C644" s="43"/>
      <c r="D644" s="43"/>
      <c r="E644" s="43"/>
      <c r="F644" s="43"/>
      <c r="G644" s="43"/>
      <c r="H644" s="43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42"/>
      <c r="B645" s="42"/>
      <c r="C645" s="43"/>
      <c r="D645" s="43"/>
      <c r="E645" s="43"/>
      <c r="F645" s="43"/>
      <c r="G645" s="43"/>
      <c r="H645" s="43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42"/>
      <c r="B646" s="42"/>
      <c r="C646" s="43"/>
      <c r="D646" s="43"/>
      <c r="E646" s="43"/>
      <c r="F646" s="43"/>
      <c r="G646" s="43"/>
      <c r="H646" s="43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42"/>
      <c r="B647" s="42"/>
      <c r="C647" s="43"/>
      <c r="D647" s="43"/>
      <c r="E647" s="43"/>
      <c r="F647" s="43"/>
      <c r="G647" s="43"/>
      <c r="H647" s="43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42"/>
      <c r="B648" s="42"/>
      <c r="C648" s="43"/>
      <c r="D648" s="43"/>
      <c r="E648" s="43"/>
      <c r="F648" s="43"/>
      <c r="G648" s="43"/>
      <c r="H648" s="43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42"/>
      <c r="B649" s="42"/>
      <c r="C649" s="43"/>
      <c r="D649" s="43"/>
      <c r="E649" s="43"/>
      <c r="F649" s="43"/>
      <c r="G649" s="43"/>
      <c r="H649" s="43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42"/>
      <c r="B650" s="42"/>
      <c r="C650" s="43"/>
      <c r="D650" s="43"/>
      <c r="E650" s="43"/>
      <c r="F650" s="43"/>
      <c r="G650" s="43"/>
      <c r="H650" s="43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42"/>
      <c r="B651" s="42"/>
      <c r="C651" s="43"/>
      <c r="D651" s="43"/>
      <c r="E651" s="43"/>
      <c r="F651" s="43"/>
      <c r="G651" s="43"/>
      <c r="H651" s="43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42"/>
      <c r="B652" s="42"/>
      <c r="C652" s="43"/>
      <c r="D652" s="43"/>
      <c r="E652" s="43"/>
      <c r="F652" s="43"/>
      <c r="G652" s="43"/>
      <c r="H652" s="43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42"/>
      <c r="B653" s="42"/>
      <c r="C653" s="43"/>
      <c r="D653" s="43"/>
      <c r="E653" s="43"/>
      <c r="F653" s="43"/>
      <c r="G653" s="43"/>
      <c r="H653" s="43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42"/>
      <c r="B654" s="42"/>
      <c r="C654" s="43"/>
      <c r="D654" s="43"/>
      <c r="E654" s="43"/>
      <c r="F654" s="43"/>
      <c r="G654" s="43"/>
      <c r="H654" s="43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42"/>
      <c r="B655" s="42"/>
      <c r="C655" s="43"/>
      <c r="D655" s="43"/>
      <c r="E655" s="43"/>
      <c r="F655" s="43"/>
      <c r="G655" s="43"/>
      <c r="H655" s="43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42"/>
      <c r="B656" s="42"/>
      <c r="C656" s="43"/>
      <c r="D656" s="43"/>
      <c r="E656" s="43"/>
      <c r="F656" s="43"/>
      <c r="G656" s="43"/>
      <c r="H656" s="43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42"/>
      <c r="B657" s="42"/>
      <c r="C657" s="43"/>
      <c r="D657" s="43"/>
      <c r="E657" s="43"/>
      <c r="F657" s="43"/>
      <c r="G657" s="43"/>
      <c r="H657" s="43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42"/>
      <c r="B658" s="42"/>
      <c r="C658" s="43"/>
      <c r="D658" s="43"/>
      <c r="E658" s="43"/>
      <c r="F658" s="43"/>
      <c r="G658" s="43"/>
      <c r="H658" s="43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42"/>
      <c r="B659" s="42"/>
      <c r="C659" s="43"/>
      <c r="D659" s="43"/>
      <c r="E659" s="43"/>
      <c r="F659" s="43"/>
      <c r="G659" s="43"/>
      <c r="H659" s="43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42"/>
      <c r="B660" s="42"/>
      <c r="C660" s="43"/>
      <c r="D660" s="43"/>
      <c r="E660" s="43"/>
      <c r="F660" s="43"/>
      <c r="G660" s="43"/>
      <c r="H660" s="43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42"/>
      <c r="B661" s="42"/>
      <c r="C661" s="43"/>
      <c r="D661" s="43"/>
      <c r="E661" s="43"/>
      <c r="F661" s="43"/>
      <c r="G661" s="43"/>
      <c r="H661" s="43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42"/>
      <c r="B662" s="42"/>
      <c r="C662" s="43"/>
      <c r="D662" s="43"/>
      <c r="E662" s="43"/>
      <c r="F662" s="43"/>
      <c r="G662" s="43"/>
      <c r="H662" s="43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42"/>
      <c r="B663" s="42"/>
      <c r="C663" s="43"/>
      <c r="D663" s="43"/>
      <c r="E663" s="43"/>
      <c r="F663" s="43"/>
      <c r="G663" s="43"/>
      <c r="H663" s="43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42"/>
      <c r="B664" s="42"/>
      <c r="C664" s="43"/>
      <c r="D664" s="43"/>
      <c r="E664" s="43"/>
      <c r="F664" s="43"/>
      <c r="G664" s="43"/>
      <c r="H664" s="43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42"/>
      <c r="B665" s="42"/>
      <c r="C665" s="43"/>
      <c r="D665" s="43"/>
      <c r="E665" s="43"/>
      <c r="F665" s="43"/>
      <c r="G665" s="43"/>
      <c r="H665" s="43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42"/>
      <c r="B666" s="42"/>
      <c r="C666" s="43"/>
      <c r="D666" s="43"/>
      <c r="E666" s="43"/>
      <c r="F666" s="43"/>
      <c r="G666" s="43"/>
      <c r="H666" s="43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42"/>
      <c r="B667" s="42"/>
      <c r="C667" s="43"/>
      <c r="D667" s="43"/>
      <c r="E667" s="43"/>
      <c r="F667" s="43"/>
      <c r="G667" s="43"/>
      <c r="H667" s="43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42"/>
      <c r="B668" s="42"/>
      <c r="C668" s="43"/>
      <c r="D668" s="43"/>
      <c r="E668" s="43"/>
      <c r="F668" s="43"/>
      <c r="G668" s="43"/>
      <c r="H668" s="43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42"/>
      <c r="B669" s="42"/>
      <c r="C669" s="43"/>
      <c r="D669" s="43"/>
      <c r="E669" s="43"/>
      <c r="F669" s="43"/>
      <c r="G669" s="43"/>
      <c r="H669" s="43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42"/>
      <c r="B670" s="42"/>
      <c r="C670" s="43"/>
      <c r="D670" s="43"/>
      <c r="E670" s="43"/>
      <c r="F670" s="43"/>
      <c r="G670" s="43"/>
      <c r="H670" s="43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42"/>
      <c r="B671" s="42"/>
      <c r="C671" s="43"/>
      <c r="D671" s="43"/>
      <c r="E671" s="43"/>
      <c r="F671" s="43"/>
      <c r="G671" s="43"/>
      <c r="H671" s="43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42"/>
      <c r="B672" s="42"/>
      <c r="C672" s="43"/>
      <c r="D672" s="43"/>
      <c r="E672" s="43"/>
      <c r="F672" s="43"/>
      <c r="G672" s="43"/>
      <c r="H672" s="43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42"/>
      <c r="B673" s="42"/>
      <c r="C673" s="43"/>
      <c r="D673" s="43"/>
      <c r="E673" s="43"/>
      <c r="F673" s="43"/>
      <c r="G673" s="43"/>
      <c r="H673" s="43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42"/>
      <c r="B674" s="42"/>
      <c r="C674" s="43"/>
      <c r="D674" s="43"/>
      <c r="E674" s="43"/>
      <c r="F674" s="43"/>
      <c r="G674" s="43"/>
      <c r="H674" s="43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42"/>
      <c r="B675" s="42"/>
      <c r="C675" s="43"/>
      <c r="D675" s="43"/>
      <c r="E675" s="43"/>
      <c r="F675" s="43"/>
      <c r="G675" s="43"/>
      <c r="H675" s="43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42"/>
      <c r="B676" s="42"/>
      <c r="C676" s="43"/>
      <c r="D676" s="43"/>
      <c r="E676" s="43"/>
      <c r="F676" s="43"/>
      <c r="G676" s="43"/>
      <c r="H676" s="43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42"/>
      <c r="B677" s="42"/>
      <c r="C677" s="43"/>
      <c r="D677" s="43"/>
      <c r="E677" s="43"/>
      <c r="F677" s="43"/>
      <c r="G677" s="43"/>
      <c r="H677" s="43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42"/>
      <c r="B678" s="42"/>
      <c r="C678" s="43"/>
      <c r="D678" s="43"/>
      <c r="E678" s="43"/>
      <c r="F678" s="43"/>
      <c r="G678" s="43"/>
      <c r="H678" s="43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42"/>
      <c r="B679" s="42"/>
      <c r="C679" s="43"/>
      <c r="D679" s="43"/>
      <c r="E679" s="43"/>
      <c r="F679" s="43"/>
      <c r="G679" s="43"/>
      <c r="H679" s="43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42"/>
      <c r="B680" s="42"/>
      <c r="C680" s="43"/>
      <c r="D680" s="43"/>
      <c r="E680" s="43"/>
      <c r="F680" s="43"/>
      <c r="G680" s="43"/>
      <c r="H680" s="43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42"/>
      <c r="B681" s="42"/>
      <c r="C681" s="43"/>
      <c r="D681" s="43"/>
      <c r="E681" s="43"/>
      <c r="F681" s="43"/>
      <c r="G681" s="43"/>
      <c r="H681" s="43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42"/>
      <c r="B682" s="42"/>
      <c r="C682" s="43"/>
      <c r="D682" s="43"/>
      <c r="E682" s="43"/>
      <c r="F682" s="43"/>
      <c r="G682" s="43"/>
      <c r="H682" s="43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42"/>
      <c r="B683" s="42"/>
      <c r="C683" s="43"/>
      <c r="D683" s="43"/>
      <c r="E683" s="43"/>
      <c r="F683" s="43"/>
      <c r="G683" s="43"/>
      <c r="H683" s="43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42"/>
      <c r="B684" s="42"/>
      <c r="C684" s="43"/>
      <c r="D684" s="43"/>
      <c r="E684" s="43"/>
      <c r="F684" s="43"/>
      <c r="G684" s="43"/>
      <c r="H684" s="43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42"/>
      <c r="B685" s="42"/>
      <c r="C685" s="43"/>
      <c r="D685" s="43"/>
      <c r="E685" s="43"/>
      <c r="F685" s="43"/>
      <c r="G685" s="43"/>
      <c r="H685" s="43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42"/>
      <c r="B686" s="42"/>
      <c r="C686" s="43"/>
      <c r="D686" s="43"/>
      <c r="E686" s="43"/>
      <c r="F686" s="43"/>
      <c r="G686" s="43"/>
      <c r="H686" s="43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42"/>
      <c r="B687" s="42"/>
      <c r="C687" s="43"/>
      <c r="D687" s="43"/>
      <c r="E687" s="43"/>
      <c r="F687" s="43"/>
      <c r="G687" s="43"/>
      <c r="H687" s="43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42"/>
      <c r="B688" s="42"/>
      <c r="C688" s="43"/>
      <c r="D688" s="43"/>
      <c r="E688" s="43"/>
      <c r="F688" s="43"/>
      <c r="G688" s="43"/>
      <c r="H688" s="43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42"/>
      <c r="B689" s="42"/>
      <c r="C689" s="43"/>
      <c r="D689" s="43"/>
      <c r="E689" s="43"/>
      <c r="F689" s="43"/>
      <c r="G689" s="43"/>
      <c r="H689" s="43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42"/>
      <c r="B690" s="42"/>
      <c r="C690" s="43"/>
      <c r="D690" s="43"/>
      <c r="E690" s="43"/>
      <c r="F690" s="43"/>
      <c r="G690" s="43"/>
      <c r="H690" s="43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42"/>
      <c r="B691" s="42"/>
      <c r="C691" s="43"/>
      <c r="D691" s="43"/>
      <c r="E691" s="43"/>
      <c r="F691" s="43"/>
      <c r="G691" s="43"/>
      <c r="H691" s="43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42"/>
      <c r="B692" s="42"/>
      <c r="C692" s="43"/>
      <c r="D692" s="43"/>
      <c r="E692" s="43"/>
      <c r="F692" s="43"/>
      <c r="G692" s="43"/>
      <c r="H692" s="43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42"/>
      <c r="B693" s="42"/>
      <c r="C693" s="43"/>
      <c r="D693" s="43"/>
      <c r="E693" s="43"/>
      <c r="F693" s="43"/>
      <c r="G693" s="43"/>
      <c r="H693" s="43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42"/>
      <c r="B694" s="42"/>
      <c r="C694" s="43"/>
      <c r="D694" s="43"/>
      <c r="E694" s="43"/>
      <c r="F694" s="43"/>
      <c r="G694" s="43"/>
      <c r="H694" s="43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42"/>
      <c r="B695" s="42"/>
      <c r="C695" s="43"/>
      <c r="D695" s="43"/>
      <c r="E695" s="43"/>
      <c r="F695" s="43"/>
      <c r="G695" s="43"/>
      <c r="H695" s="43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42"/>
      <c r="B696" s="42"/>
      <c r="C696" s="43"/>
      <c r="D696" s="43"/>
      <c r="E696" s="43"/>
      <c r="F696" s="43"/>
      <c r="G696" s="43"/>
      <c r="H696" s="43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42"/>
      <c r="B697" s="42"/>
      <c r="C697" s="43"/>
      <c r="D697" s="43"/>
      <c r="E697" s="43"/>
      <c r="F697" s="43"/>
      <c r="G697" s="43"/>
      <c r="H697" s="43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42"/>
      <c r="B698" s="42"/>
      <c r="C698" s="43"/>
      <c r="D698" s="43"/>
      <c r="E698" s="43"/>
      <c r="F698" s="43"/>
      <c r="G698" s="43"/>
      <c r="H698" s="43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42"/>
      <c r="B699" s="42"/>
      <c r="C699" s="43"/>
      <c r="D699" s="43"/>
      <c r="E699" s="43"/>
      <c r="F699" s="43"/>
      <c r="G699" s="43"/>
      <c r="H699" s="43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42"/>
      <c r="B700" s="42"/>
      <c r="C700" s="43"/>
      <c r="D700" s="43"/>
      <c r="E700" s="43"/>
      <c r="F700" s="43"/>
      <c r="G700" s="43"/>
      <c r="H700" s="43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42"/>
      <c r="B701" s="42"/>
      <c r="C701" s="43"/>
      <c r="D701" s="43"/>
      <c r="E701" s="43"/>
      <c r="F701" s="43"/>
      <c r="G701" s="43"/>
      <c r="H701" s="43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42"/>
      <c r="B702" s="42"/>
      <c r="C702" s="43"/>
      <c r="D702" s="43"/>
      <c r="E702" s="43"/>
      <c r="F702" s="43"/>
      <c r="G702" s="43"/>
      <c r="H702" s="43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42"/>
      <c r="B703" s="42"/>
      <c r="C703" s="43"/>
      <c r="D703" s="43"/>
      <c r="E703" s="43"/>
      <c r="F703" s="43"/>
      <c r="G703" s="43"/>
      <c r="H703" s="43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42"/>
      <c r="B704" s="42"/>
      <c r="C704" s="43"/>
      <c r="D704" s="43"/>
      <c r="E704" s="43"/>
      <c r="F704" s="43"/>
      <c r="G704" s="43"/>
      <c r="H704" s="43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42"/>
      <c r="B705" s="42"/>
      <c r="C705" s="43"/>
      <c r="D705" s="43"/>
      <c r="E705" s="43"/>
      <c r="F705" s="43"/>
      <c r="G705" s="43"/>
      <c r="H705" s="43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42"/>
      <c r="B706" s="42"/>
      <c r="C706" s="43"/>
      <c r="D706" s="43"/>
      <c r="E706" s="43"/>
      <c r="F706" s="43"/>
      <c r="G706" s="43"/>
      <c r="H706" s="43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42"/>
      <c r="B707" s="42"/>
      <c r="C707" s="43"/>
      <c r="D707" s="43"/>
      <c r="E707" s="43"/>
      <c r="F707" s="43"/>
      <c r="G707" s="43"/>
      <c r="H707" s="43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42"/>
      <c r="B708" s="42"/>
      <c r="C708" s="43"/>
      <c r="D708" s="43"/>
      <c r="E708" s="43"/>
      <c r="F708" s="43"/>
      <c r="G708" s="43"/>
      <c r="H708" s="43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42"/>
      <c r="B709" s="42"/>
      <c r="C709" s="43"/>
      <c r="D709" s="43"/>
      <c r="E709" s="43"/>
      <c r="F709" s="43"/>
      <c r="G709" s="43"/>
      <c r="H709" s="43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42"/>
      <c r="B710" s="42"/>
      <c r="C710" s="43"/>
      <c r="D710" s="43"/>
      <c r="E710" s="43"/>
      <c r="F710" s="43"/>
      <c r="G710" s="43"/>
      <c r="H710" s="43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42"/>
      <c r="B711" s="42"/>
      <c r="C711" s="43"/>
      <c r="D711" s="43"/>
      <c r="E711" s="43"/>
      <c r="F711" s="43"/>
      <c r="G711" s="43"/>
      <c r="H711" s="43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42"/>
      <c r="B712" s="42"/>
      <c r="C712" s="43"/>
      <c r="D712" s="43"/>
      <c r="E712" s="43"/>
      <c r="F712" s="43"/>
      <c r="G712" s="43"/>
      <c r="H712" s="43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42"/>
      <c r="B713" s="42"/>
      <c r="C713" s="43"/>
      <c r="D713" s="43"/>
      <c r="E713" s="43"/>
      <c r="F713" s="43"/>
      <c r="G713" s="43"/>
      <c r="H713" s="43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42"/>
      <c r="B714" s="42"/>
      <c r="C714" s="43"/>
      <c r="D714" s="43"/>
      <c r="E714" s="43"/>
      <c r="F714" s="43"/>
      <c r="G714" s="43"/>
      <c r="H714" s="43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42"/>
      <c r="B715" s="42"/>
      <c r="C715" s="43"/>
      <c r="D715" s="43"/>
      <c r="E715" s="43"/>
      <c r="F715" s="43"/>
      <c r="G715" s="43"/>
      <c r="H715" s="43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42"/>
      <c r="B716" s="42"/>
      <c r="C716" s="43"/>
      <c r="D716" s="43"/>
      <c r="E716" s="43"/>
      <c r="F716" s="43"/>
      <c r="G716" s="43"/>
      <c r="H716" s="43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42"/>
      <c r="B717" s="42"/>
      <c r="C717" s="43"/>
      <c r="D717" s="43"/>
      <c r="E717" s="43"/>
      <c r="F717" s="43"/>
      <c r="G717" s="43"/>
      <c r="H717" s="43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42"/>
      <c r="B718" s="42"/>
      <c r="C718" s="43"/>
      <c r="D718" s="43"/>
      <c r="E718" s="43"/>
      <c r="F718" s="43"/>
      <c r="G718" s="43"/>
      <c r="H718" s="43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42"/>
      <c r="B719" s="42"/>
      <c r="C719" s="43"/>
      <c r="D719" s="43"/>
      <c r="E719" s="43"/>
      <c r="F719" s="43"/>
      <c r="G719" s="43"/>
      <c r="H719" s="43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42"/>
      <c r="B720" s="42"/>
      <c r="C720" s="43"/>
      <c r="D720" s="43"/>
      <c r="E720" s="43"/>
      <c r="F720" s="43"/>
      <c r="G720" s="43"/>
      <c r="H720" s="43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42"/>
      <c r="B721" s="42"/>
      <c r="C721" s="43"/>
      <c r="D721" s="43"/>
      <c r="E721" s="43"/>
      <c r="F721" s="43"/>
      <c r="G721" s="43"/>
      <c r="H721" s="43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42"/>
      <c r="B722" s="42"/>
      <c r="C722" s="43"/>
      <c r="D722" s="43"/>
      <c r="E722" s="43"/>
      <c r="F722" s="43"/>
      <c r="G722" s="43"/>
      <c r="H722" s="43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42"/>
      <c r="B723" s="42"/>
      <c r="C723" s="43"/>
      <c r="D723" s="43"/>
      <c r="E723" s="43"/>
      <c r="F723" s="43"/>
      <c r="G723" s="43"/>
      <c r="H723" s="43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42"/>
      <c r="B724" s="42"/>
      <c r="C724" s="43"/>
      <c r="D724" s="43"/>
      <c r="E724" s="43"/>
      <c r="F724" s="43"/>
      <c r="G724" s="43"/>
      <c r="H724" s="43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42"/>
      <c r="B725" s="42"/>
      <c r="C725" s="43"/>
      <c r="D725" s="43"/>
      <c r="E725" s="43"/>
      <c r="F725" s="43"/>
      <c r="G725" s="43"/>
      <c r="H725" s="43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42"/>
      <c r="B726" s="42"/>
      <c r="C726" s="43"/>
      <c r="D726" s="43"/>
      <c r="E726" s="43"/>
      <c r="F726" s="43"/>
      <c r="G726" s="43"/>
      <c r="H726" s="43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42"/>
      <c r="B727" s="42"/>
      <c r="C727" s="43"/>
      <c r="D727" s="43"/>
      <c r="E727" s="43"/>
      <c r="F727" s="43"/>
      <c r="G727" s="43"/>
      <c r="H727" s="43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42"/>
      <c r="B728" s="42"/>
      <c r="C728" s="43"/>
      <c r="D728" s="43"/>
      <c r="E728" s="43"/>
      <c r="F728" s="43"/>
      <c r="G728" s="43"/>
      <c r="H728" s="43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42"/>
      <c r="B729" s="42"/>
      <c r="C729" s="43"/>
      <c r="D729" s="43"/>
      <c r="E729" s="43"/>
      <c r="F729" s="43"/>
      <c r="G729" s="43"/>
      <c r="H729" s="43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42"/>
      <c r="B730" s="42"/>
      <c r="C730" s="43"/>
      <c r="D730" s="43"/>
      <c r="E730" s="43"/>
      <c r="F730" s="43"/>
      <c r="G730" s="43"/>
      <c r="H730" s="43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42"/>
      <c r="B731" s="42"/>
      <c r="C731" s="43"/>
      <c r="D731" s="43"/>
      <c r="E731" s="43"/>
      <c r="F731" s="43"/>
      <c r="G731" s="43"/>
      <c r="H731" s="43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42"/>
      <c r="B732" s="42"/>
      <c r="C732" s="43"/>
      <c r="D732" s="43"/>
      <c r="E732" s="43"/>
      <c r="F732" s="43"/>
      <c r="G732" s="43"/>
      <c r="H732" s="43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42"/>
      <c r="B733" s="42"/>
      <c r="C733" s="43"/>
      <c r="D733" s="43"/>
      <c r="E733" s="43"/>
      <c r="F733" s="43"/>
      <c r="G733" s="43"/>
      <c r="H733" s="43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42"/>
      <c r="B734" s="42"/>
      <c r="C734" s="43"/>
      <c r="D734" s="43"/>
      <c r="E734" s="43"/>
      <c r="F734" s="43"/>
      <c r="G734" s="43"/>
      <c r="H734" s="43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42"/>
      <c r="B735" s="42"/>
      <c r="C735" s="43"/>
      <c r="D735" s="43"/>
      <c r="E735" s="43"/>
      <c r="F735" s="43"/>
      <c r="G735" s="43"/>
      <c r="H735" s="43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42"/>
      <c r="B736" s="42"/>
      <c r="C736" s="43"/>
      <c r="D736" s="43"/>
      <c r="E736" s="43"/>
      <c r="F736" s="43"/>
      <c r="G736" s="43"/>
      <c r="H736" s="43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42"/>
      <c r="B737" s="42"/>
      <c r="C737" s="43"/>
      <c r="D737" s="43"/>
      <c r="E737" s="43"/>
      <c r="F737" s="43"/>
      <c r="G737" s="43"/>
      <c r="H737" s="43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42"/>
      <c r="B738" s="42"/>
      <c r="C738" s="43"/>
      <c r="D738" s="43"/>
      <c r="E738" s="43"/>
      <c r="F738" s="43"/>
      <c r="G738" s="43"/>
      <c r="H738" s="43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42"/>
      <c r="B739" s="42"/>
      <c r="C739" s="43"/>
      <c r="D739" s="43"/>
      <c r="E739" s="43"/>
      <c r="F739" s="43"/>
      <c r="G739" s="43"/>
      <c r="H739" s="43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42"/>
      <c r="B740" s="42"/>
      <c r="C740" s="43"/>
      <c r="D740" s="43"/>
      <c r="E740" s="43"/>
      <c r="F740" s="43"/>
      <c r="G740" s="43"/>
      <c r="H740" s="43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42"/>
      <c r="B741" s="42"/>
      <c r="C741" s="43"/>
      <c r="D741" s="43"/>
      <c r="E741" s="43"/>
      <c r="F741" s="43"/>
      <c r="G741" s="43"/>
      <c r="H741" s="43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42"/>
      <c r="B742" s="42"/>
      <c r="C742" s="43"/>
      <c r="D742" s="43"/>
      <c r="E742" s="43"/>
      <c r="F742" s="43"/>
      <c r="G742" s="43"/>
      <c r="H742" s="43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42"/>
      <c r="B743" s="42"/>
      <c r="C743" s="43"/>
      <c r="D743" s="43"/>
      <c r="E743" s="43"/>
      <c r="F743" s="43"/>
      <c r="G743" s="43"/>
      <c r="H743" s="43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42"/>
      <c r="B744" s="42"/>
      <c r="C744" s="43"/>
      <c r="D744" s="43"/>
      <c r="E744" s="43"/>
      <c r="F744" s="43"/>
      <c r="G744" s="43"/>
      <c r="H744" s="43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42"/>
      <c r="B745" s="42"/>
      <c r="C745" s="43"/>
      <c r="D745" s="43"/>
      <c r="E745" s="43"/>
      <c r="F745" s="43"/>
      <c r="G745" s="43"/>
      <c r="H745" s="43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42"/>
      <c r="B746" s="42"/>
      <c r="C746" s="43"/>
      <c r="D746" s="43"/>
      <c r="E746" s="43"/>
      <c r="F746" s="43"/>
      <c r="G746" s="43"/>
      <c r="H746" s="43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42"/>
      <c r="B747" s="42"/>
      <c r="C747" s="43"/>
      <c r="D747" s="43"/>
      <c r="E747" s="43"/>
      <c r="F747" s="43"/>
      <c r="G747" s="43"/>
      <c r="H747" s="43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42"/>
      <c r="B748" s="42"/>
      <c r="C748" s="43"/>
      <c r="D748" s="43"/>
      <c r="E748" s="43"/>
      <c r="F748" s="43"/>
      <c r="G748" s="43"/>
      <c r="H748" s="43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42"/>
      <c r="B749" s="42"/>
      <c r="C749" s="43"/>
      <c r="D749" s="43"/>
      <c r="E749" s="43"/>
      <c r="F749" s="43"/>
      <c r="G749" s="43"/>
      <c r="H749" s="43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42"/>
      <c r="B750" s="42"/>
      <c r="C750" s="43"/>
      <c r="D750" s="43"/>
      <c r="E750" s="43"/>
      <c r="F750" s="43"/>
      <c r="G750" s="43"/>
      <c r="H750" s="43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42"/>
      <c r="B751" s="42"/>
      <c r="C751" s="43"/>
      <c r="D751" s="43"/>
      <c r="E751" s="43"/>
      <c r="F751" s="43"/>
      <c r="G751" s="43"/>
      <c r="H751" s="43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42"/>
      <c r="B752" s="42"/>
      <c r="C752" s="43"/>
      <c r="D752" s="43"/>
      <c r="E752" s="43"/>
      <c r="F752" s="43"/>
      <c r="G752" s="43"/>
      <c r="H752" s="43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42"/>
      <c r="B753" s="42"/>
      <c r="C753" s="43"/>
      <c r="D753" s="43"/>
      <c r="E753" s="43"/>
      <c r="F753" s="43"/>
      <c r="G753" s="43"/>
      <c r="H753" s="43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42"/>
      <c r="B754" s="42"/>
      <c r="C754" s="43"/>
      <c r="D754" s="43"/>
      <c r="E754" s="43"/>
      <c r="F754" s="43"/>
      <c r="G754" s="43"/>
      <c r="H754" s="43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42"/>
      <c r="B755" s="42"/>
      <c r="C755" s="43"/>
      <c r="D755" s="43"/>
      <c r="E755" s="43"/>
      <c r="F755" s="43"/>
      <c r="G755" s="43"/>
      <c r="H755" s="43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42"/>
      <c r="B756" s="42"/>
      <c r="C756" s="43"/>
      <c r="D756" s="43"/>
      <c r="E756" s="43"/>
      <c r="F756" s="43"/>
      <c r="G756" s="43"/>
      <c r="H756" s="43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42"/>
      <c r="B757" s="42"/>
      <c r="C757" s="43"/>
      <c r="D757" s="43"/>
      <c r="E757" s="43"/>
      <c r="F757" s="43"/>
      <c r="G757" s="43"/>
      <c r="H757" s="43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42"/>
      <c r="B758" s="42"/>
      <c r="C758" s="43"/>
      <c r="D758" s="43"/>
      <c r="E758" s="43"/>
      <c r="F758" s="43"/>
      <c r="G758" s="43"/>
      <c r="H758" s="43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42"/>
      <c r="B759" s="42"/>
      <c r="C759" s="43"/>
      <c r="D759" s="43"/>
      <c r="E759" s="43"/>
      <c r="F759" s="43"/>
      <c r="G759" s="43"/>
      <c r="H759" s="43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42"/>
      <c r="B760" s="42"/>
      <c r="C760" s="43"/>
      <c r="D760" s="43"/>
      <c r="E760" s="43"/>
      <c r="F760" s="43"/>
      <c r="G760" s="43"/>
      <c r="H760" s="43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42"/>
      <c r="B761" s="42"/>
      <c r="C761" s="43"/>
      <c r="D761" s="43"/>
      <c r="E761" s="43"/>
      <c r="F761" s="43"/>
      <c r="G761" s="43"/>
      <c r="H761" s="43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42"/>
      <c r="B762" s="42"/>
      <c r="C762" s="43"/>
      <c r="D762" s="43"/>
      <c r="E762" s="43"/>
      <c r="F762" s="43"/>
      <c r="G762" s="43"/>
      <c r="H762" s="43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42"/>
      <c r="B763" s="42"/>
      <c r="C763" s="43"/>
      <c r="D763" s="43"/>
      <c r="E763" s="43"/>
      <c r="F763" s="43"/>
      <c r="G763" s="43"/>
      <c r="H763" s="43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42"/>
      <c r="B764" s="42"/>
      <c r="C764" s="43"/>
      <c r="D764" s="43"/>
      <c r="E764" s="43"/>
      <c r="F764" s="43"/>
      <c r="G764" s="43"/>
      <c r="H764" s="43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42"/>
      <c r="B765" s="42"/>
      <c r="C765" s="43"/>
      <c r="D765" s="43"/>
      <c r="E765" s="43"/>
      <c r="F765" s="43"/>
      <c r="G765" s="43"/>
      <c r="H765" s="43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42"/>
      <c r="B766" s="42"/>
      <c r="C766" s="43"/>
      <c r="D766" s="43"/>
      <c r="E766" s="43"/>
      <c r="F766" s="43"/>
      <c r="G766" s="43"/>
      <c r="H766" s="43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42"/>
      <c r="B767" s="42"/>
      <c r="C767" s="43"/>
      <c r="D767" s="43"/>
      <c r="E767" s="43"/>
      <c r="F767" s="43"/>
      <c r="G767" s="43"/>
      <c r="H767" s="43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42"/>
      <c r="B768" s="42"/>
      <c r="C768" s="43"/>
      <c r="D768" s="43"/>
      <c r="E768" s="43"/>
      <c r="F768" s="43"/>
      <c r="G768" s="43"/>
      <c r="H768" s="43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42"/>
      <c r="B769" s="42"/>
      <c r="C769" s="43"/>
      <c r="D769" s="43"/>
      <c r="E769" s="43"/>
      <c r="F769" s="43"/>
      <c r="G769" s="43"/>
      <c r="H769" s="43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42"/>
      <c r="B770" s="42"/>
      <c r="C770" s="43"/>
      <c r="D770" s="43"/>
      <c r="E770" s="43"/>
      <c r="F770" s="43"/>
      <c r="G770" s="43"/>
      <c r="H770" s="43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42"/>
      <c r="B771" s="42"/>
      <c r="C771" s="43"/>
      <c r="D771" s="43"/>
      <c r="E771" s="43"/>
      <c r="F771" s="43"/>
      <c r="G771" s="43"/>
      <c r="H771" s="43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42"/>
      <c r="B772" s="42"/>
      <c r="C772" s="43"/>
      <c r="D772" s="43"/>
      <c r="E772" s="43"/>
      <c r="F772" s="43"/>
      <c r="G772" s="43"/>
      <c r="H772" s="43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42"/>
      <c r="B773" s="42"/>
      <c r="C773" s="43"/>
      <c r="D773" s="43"/>
      <c r="E773" s="43"/>
      <c r="F773" s="43"/>
      <c r="G773" s="43"/>
      <c r="H773" s="43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42"/>
      <c r="B774" s="42"/>
      <c r="C774" s="43"/>
      <c r="D774" s="43"/>
      <c r="E774" s="43"/>
      <c r="F774" s="43"/>
      <c r="G774" s="43"/>
      <c r="H774" s="43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42"/>
      <c r="B775" s="42"/>
      <c r="C775" s="43"/>
      <c r="D775" s="43"/>
      <c r="E775" s="43"/>
      <c r="F775" s="43"/>
      <c r="G775" s="43"/>
      <c r="H775" s="43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42"/>
      <c r="B776" s="42"/>
      <c r="C776" s="43"/>
      <c r="D776" s="43"/>
      <c r="E776" s="43"/>
      <c r="F776" s="43"/>
      <c r="G776" s="43"/>
      <c r="H776" s="43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42"/>
      <c r="B777" s="42"/>
      <c r="C777" s="43"/>
      <c r="D777" s="43"/>
      <c r="E777" s="43"/>
      <c r="F777" s="43"/>
      <c r="G777" s="43"/>
      <c r="H777" s="43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42"/>
      <c r="B778" s="42"/>
      <c r="C778" s="43"/>
      <c r="D778" s="43"/>
      <c r="E778" s="43"/>
      <c r="F778" s="43"/>
      <c r="G778" s="43"/>
      <c r="H778" s="43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42"/>
      <c r="B779" s="42"/>
      <c r="C779" s="43"/>
      <c r="D779" s="43"/>
      <c r="E779" s="43"/>
      <c r="F779" s="43"/>
      <c r="G779" s="43"/>
      <c r="H779" s="43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42"/>
      <c r="B780" s="42"/>
      <c r="C780" s="43"/>
      <c r="D780" s="43"/>
      <c r="E780" s="43"/>
      <c r="F780" s="43"/>
      <c r="G780" s="43"/>
      <c r="H780" s="43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42"/>
      <c r="B781" s="42"/>
      <c r="C781" s="43"/>
      <c r="D781" s="43"/>
      <c r="E781" s="43"/>
      <c r="F781" s="43"/>
      <c r="G781" s="43"/>
      <c r="H781" s="43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42"/>
      <c r="B782" s="42"/>
      <c r="C782" s="43"/>
      <c r="D782" s="43"/>
      <c r="E782" s="43"/>
      <c r="F782" s="43"/>
      <c r="G782" s="43"/>
      <c r="H782" s="43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42"/>
      <c r="B783" s="42"/>
      <c r="C783" s="43"/>
      <c r="D783" s="43"/>
      <c r="E783" s="43"/>
      <c r="F783" s="43"/>
      <c r="G783" s="43"/>
      <c r="H783" s="43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42"/>
      <c r="B784" s="42"/>
      <c r="C784" s="43"/>
      <c r="D784" s="43"/>
      <c r="E784" s="43"/>
      <c r="F784" s="43"/>
      <c r="G784" s="43"/>
      <c r="H784" s="43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42"/>
      <c r="B785" s="42"/>
      <c r="C785" s="43"/>
      <c r="D785" s="43"/>
      <c r="E785" s="43"/>
      <c r="F785" s="43"/>
      <c r="G785" s="43"/>
      <c r="H785" s="43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42"/>
      <c r="B786" s="42"/>
      <c r="C786" s="43"/>
      <c r="D786" s="43"/>
      <c r="E786" s="43"/>
      <c r="F786" s="43"/>
      <c r="G786" s="43"/>
      <c r="H786" s="43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42"/>
      <c r="B787" s="42"/>
      <c r="C787" s="43"/>
      <c r="D787" s="43"/>
      <c r="E787" s="43"/>
      <c r="F787" s="43"/>
      <c r="G787" s="43"/>
      <c r="H787" s="43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42"/>
      <c r="B788" s="42"/>
      <c r="C788" s="43"/>
      <c r="D788" s="43"/>
      <c r="E788" s="43"/>
      <c r="F788" s="43"/>
      <c r="G788" s="43"/>
      <c r="H788" s="43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42"/>
      <c r="B789" s="42"/>
      <c r="C789" s="43"/>
      <c r="D789" s="43"/>
      <c r="E789" s="43"/>
      <c r="F789" s="43"/>
      <c r="G789" s="43"/>
      <c r="H789" s="43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42"/>
      <c r="B790" s="42"/>
      <c r="C790" s="43"/>
      <c r="D790" s="43"/>
      <c r="E790" s="43"/>
      <c r="F790" s="43"/>
      <c r="G790" s="43"/>
      <c r="H790" s="43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42"/>
      <c r="B791" s="42"/>
      <c r="C791" s="43"/>
      <c r="D791" s="43"/>
      <c r="E791" s="43"/>
      <c r="F791" s="43"/>
      <c r="G791" s="43"/>
      <c r="H791" s="43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42"/>
      <c r="B792" s="42"/>
      <c r="C792" s="43"/>
      <c r="D792" s="43"/>
      <c r="E792" s="43"/>
      <c r="F792" s="43"/>
      <c r="G792" s="43"/>
      <c r="H792" s="43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42"/>
      <c r="B793" s="42"/>
      <c r="C793" s="43"/>
      <c r="D793" s="43"/>
      <c r="E793" s="43"/>
      <c r="F793" s="43"/>
      <c r="G793" s="43"/>
      <c r="H793" s="43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42"/>
      <c r="B794" s="42"/>
      <c r="C794" s="43"/>
      <c r="D794" s="43"/>
      <c r="E794" s="43"/>
      <c r="F794" s="43"/>
      <c r="G794" s="43"/>
      <c r="H794" s="43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42"/>
      <c r="B795" s="42"/>
      <c r="C795" s="43"/>
      <c r="D795" s="43"/>
      <c r="E795" s="43"/>
      <c r="F795" s="43"/>
      <c r="G795" s="43"/>
      <c r="H795" s="43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42"/>
      <c r="B796" s="42"/>
      <c r="C796" s="43"/>
      <c r="D796" s="43"/>
      <c r="E796" s="43"/>
      <c r="F796" s="43"/>
      <c r="G796" s="43"/>
      <c r="H796" s="43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42"/>
      <c r="B797" s="42"/>
      <c r="C797" s="43"/>
      <c r="D797" s="43"/>
      <c r="E797" s="43"/>
      <c r="F797" s="43"/>
      <c r="G797" s="43"/>
      <c r="H797" s="43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42"/>
      <c r="B798" s="42"/>
      <c r="C798" s="43"/>
      <c r="D798" s="43"/>
      <c r="E798" s="43"/>
      <c r="F798" s="43"/>
      <c r="G798" s="43"/>
      <c r="H798" s="43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42"/>
      <c r="B799" s="42"/>
      <c r="C799" s="43"/>
      <c r="D799" s="43"/>
      <c r="E799" s="43"/>
      <c r="F799" s="43"/>
      <c r="G799" s="43"/>
      <c r="H799" s="43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42"/>
      <c r="B800" s="42"/>
      <c r="C800" s="43"/>
      <c r="D800" s="43"/>
      <c r="E800" s="43"/>
      <c r="F800" s="43"/>
      <c r="G800" s="43"/>
      <c r="H800" s="43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42"/>
      <c r="B801" s="42"/>
      <c r="C801" s="43"/>
      <c r="D801" s="43"/>
      <c r="E801" s="43"/>
      <c r="F801" s="43"/>
      <c r="G801" s="43"/>
      <c r="H801" s="43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42"/>
      <c r="B802" s="42"/>
      <c r="C802" s="43"/>
      <c r="D802" s="43"/>
      <c r="E802" s="43"/>
      <c r="F802" s="43"/>
      <c r="G802" s="43"/>
      <c r="H802" s="43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42"/>
      <c r="B803" s="42"/>
      <c r="C803" s="43"/>
      <c r="D803" s="43"/>
      <c r="E803" s="43"/>
      <c r="F803" s="43"/>
      <c r="G803" s="43"/>
      <c r="H803" s="43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42"/>
      <c r="B804" s="42"/>
      <c r="C804" s="43"/>
      <c r="D804" s="43"/>
      <c r="E804" s="43"/>
      <c r="F804" s="43"/>
      <c r="G804" s="43"/>
      <c r="H804" s="43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42"/>
      <c r="B805" s="42"/>
      <c r="C805" s="43"/>
      <c r="D805" s="43"/>
      <c r="E805" s="43"/>
      <c r="F805" s="43"/>
      <c r="G805" s="43"/>
      <c r="H805" s="43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42"/>
      <c r="B806" s="42"/>
      <c r="C806" s="43"/>
      <c r="D806" s="43"/>
      <c r="E806" s="43"/>
      <c r="F806" s="43"/>
      <c r="G806" s="43"/>
      <c r="H806" s="43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42"/>
      <c r="B807" s="42"/>
      <c r="C807" s="43"/>
      <c r="D807" s="43"/>
      <c r="E807" s="43"/>
      <c r="F807" s="43"/>
      <c r="G807" s="43"/>
      <c r="H807" s="43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42"/>
      <c r="B808" s="42"/>
      <c r="C808" s="43"/>
      <c r="D808" s="43"/>
      <c r="E808" s="43"/>
      <c r="F808" s="43"/>
      <c r="G808" s="43"/>
      <c r="H808" s="43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42"/>
      <c r="B809" s="42"/>
      <c r="C809" s="43"/>
      <c r="D809" s="43"/>
      <c r="E809" s="43"/>
      <c r="F809" s="43"/>
      <c r="G809" s="43"/>
      <c r="H809" s="43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42"/>
      <c r="B810" s="42"/>
      <c r="C810" s="43"/>
      <c r="D810" s="43"/>
      <c r="E810" s="43"/>
      <c r="F810" s="43"/>
      <c r="G810" s="43"/>
      <c r="H810" s="43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42"/>
      <c r="B811" s="42"/>
      <c r="C811" s="43"/>
      <c r="D811" s="43"/>
      <c r="E811" s="43"/>
      <c r="F811" s="43"/>
      <c r="G811" s="43"/>
      <c r="H811" s="43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42"/>
      <c r="B812" s="42"/>
      <c r="C812" s="43"/>
      <c r="D812" s="43"/>
      <c r="E812" s="43"/>
      <c r="F812" s="43"/>
      <c r="G812" s="43"/>
      <c r="H812" s="43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42"/>
      <c r="B813" s="42"/>
      <c r="C813" s="43"/>
      <c r="D813" s="43"/>
      <c r="E813" s="43"/>
      <c r="F813" s="43"/>
      <c r="G813" s="43"/>
      <c r="H813" s="43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42"/>
      <c r="B814" s="42"/>
      <c r="C814" s="43"/>
      <c r="D814" s="43"/>
      <c r="E814" s="43"/>
      <c r="F814" s="43"/>
      <c r="G814" s="43"/>
      <c r="H814" s="43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42"/>
      <c r="B815" s="42"/>
      <c r="C815" s="43"/>
      <c r="D815" s="43"/>
      <c r="E815" s="43"/>
      <c r="F815" s="43"/>
      <c r="G815" s="43"/>
      <c r="H815" s="43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42"/>
      <c r="B816" s="42"/>
      <c r="C816" s="43"/>
      <c r="D816" s="43"/>
      <c r="E816" s="43"/>
      <c r="F816" s="43"/>
      <c r="G816" s="43"/>
      <c r="H816" s="43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42"/>
      <c r="B817" s="42"/>
      <c r="C817" s="43"/>
      <c r="D817" s="43"/>
      <c r="E817" s="43"/>
      <c r="F817" s="43"/>
      <c r="G817" s="43"/>
      <c r="H817" s="43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42"/>
      <c r="B818" s="42"/>
      <c r="C818" s="43"/>
      <c r="D818" s="43"/>
      <c r="E818" s="43"/>
      <c r="F818" s="43"/>
      <c r="G818" s="43"/>
      <c r="H818" s="43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42"/>
      <c r="B819" s="42"/>
      <c r="C819" s="43"/>
      <c r="D819" s="43"/>
      <c r="E819" s="43"/>
      <c r="F819" s="43"/>
      <c r="G819" s="43"/>
      <c r="H819" s="43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42"/>
      <c r="B820" s="42"/>
      <c r="C820" s="43"/>
      <c r="D820" s="43"/>
      <c r="E820" s="43"/>
      <c r="F820" s="43"/>
      <c r="G820" s="43"/>
      <c r="H820" s="43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42"/>
      <c r="B821" s="42"/>
      <c r="C821" s="43"/>
      <c r="D821" s="43"/>
      <c r="E821" s="43"/>
      <c r="F821" s="43"/>
      <c r="G821" s="43"/>
      <c r="H821" s="43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42"/>
      <c r="B822" s="42"/>
      <c r="C822" s="43"/>
      <c r="D822" s="43"/>
      <c r="E822" s="43"/>
      <c r="F822" s="43"/>
      <c r="G822" s="43"/>
      <c r="H822" s="43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42"/>
      <c r="B823" s="42"/>
      <c r="C823" s="43"/>
      <c r="D823" s="43"/>
      <c r="E823" s="43"/>
      <c r="F823" s="43"/>
      <c r="G823" s="43"/>
      <c r="H823" s="43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42"/>
      <c r="B824" s="42"/>
      <c r="C824" s="43"/>
      <c r="D824" s="43"/>
      <c r="E824" s="43"/>
      <c r="F824" s="43"/>
      <c r="G824" s="43"/>
      <c r="H824" s="43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42"/>
      <c r="B825" s="42"/>
      <c r="C825" s="43"/>
      <c r="D825" s="43"/>
      <c r="E825" s="43"/>
      <c r="F825" s="43"/>
      <c r="G825" s="43"/>
      <c r="H825" s="43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42"/>
      <c r="B826" s="42"/>
      <c r="C826" s="43"/>
      <c r="D826" s="43"/>
      <c r="E826" s="43"/>
      <c r="F826" s="43"/>
      <c r="G826" s="43"/>
      <c r="H826" s="43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42"/>
      <c r="B827" s="42"/>
      <c r="C827" s="43"/>
      <c r="D827" s="43"/>
      <c r="E827" s="43"/>
      <c r="F827" s="43"/>
      <c r="G827" s="43"/>
      <c r="H827" s="43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42"/>
      <c r="B828" s="42"/>
      <c r="C828" s="43"/>
      <c r="D828" s="43"/>
      <c r="E828" s="43"/>
      <c r="F828" s="43"/>
      <c r="G828" s="43"/>
      <c r="H828" s="43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42"/>
      <c r="B829" s="42"/>
      <c r="C829" s="43"/>
      <c r="D829" s="43"/>
      <c r="E829" s="43"/>
      <c r="F829" s="43"/>
      <c r="G829" s="43"/>
      <c r="H829" s="43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42"/>
      <c r="B830" s="42"/>
      <c r="C830" s="43"/>
      <c r="D830" s="43"/>
      <c r="E830" s="43"/>
      <c r="F830" s="43"/>
      <c r="G830" s="43"/>
      <c r="H830" s="43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42"/>
      <c r="B831" s="42"/>
      <c r="C831" s="43"/>
      <c r="D831" s="43"/>
      <c r="E831" s="43"/>
      <c r="F831" s="43"/>
      <c r="G831" s="43"/>
      <c r="H831" s="43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42"/>
      <c r="B832" s="42"/>
      <c r="C832" s="43"/>
      <c r="D832" s="43"/>
      <c r="E832" s="43"/>
      <c r="F832" s="43"/>
      <c r="G832" s="43"/>
      <c r="H832" s="43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42"/>
      <c r="B833" s="42"/>
      <c r="C833" s="43"/>
      <c r="D833" s="43"/>
      <c r="E833" s="43"/>
      <c r="F833" s="43"/>
      <c r="G833" s="43"/>
      <c r="H833" s="43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42"/>
      <c r="B834" s="42"/>
      <c r="C834" s="43"/>
      <c r="D834" s="43"/>
      <c r="E834" s="43"/>
      <c r="F834" s="43"/>
      <c r="G834" s="43"/>
      <c r="H834" s="43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42"/>
      <c r="B835" s="42"/>
      <c r="C835" s="43"/>
      <c r="D835" s="43"/>
      <c r="E835" s="43"/>
      <c r="F835" s="43"/>
      <c r="G835" s="43"/>
      <c r="H835" s="43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42"/>
      <c r="B836" s="42"/>
      <c r="C836" s="43"/>
      <c r="D836" s="43"/>
      <c r="E836" s="43"/>
      <c r="F836" s="43"/>
      <c r="G836" s="43"/>
      <c r="H836" s="43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42"/>
      <c r="B837" s="42"/>
      <c r="C837" s="43"/>
      <c r="D837" s="43"/>
      <c r="E837" s="43"/>
      <c r="F837" s="43"/>
      <c r="G837" s="43"/>
      <c r="H837" s="43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42"/>
      <c r="B838" s="42"/>
      <c r="C838" s="43"/>
      <c r="D838" s="43"/>
      <c r="E838" s="43"/>
      <c r="F838" s="43"/>
      <c r="G838" s="43"/>
      <c r="H838" s="43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42"/>
      <c r="B839" s="42"/>
      <c r="C839" s="43"/>
      <c r="D839" s="43"/>
      <c r="E839" s="43"/>
      <c r="F839" s="43"/>
      <c r="G839" s="43"/>
      <c r="H839" s="43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42"/>
      <c r="B840" s="42"/>
      <c r="C840" s="43"/>
      <c r="D840" s="43"/>
      <c r="E840" s="43"/>
      <c r="F840" s="43"/>
      <c r="G840" s="43"/>
      <c r="H840" s="43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42"/>
      <c r="B841" s="42"/>
      <c r="C841" s="43"/>
      <c r="D841" s="43"/>
      <c r="E841" s="43"/>
      <c r="F841" s="43"/>
      <c r="G841" s="43"/>
      <c r="H841" s="43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42"/>
      <c r="B842" s="42"/>
      <c r="C842" s="43"/>
      <c r="D842" s="43"/>
      <c r="E842" s="43"/>
      <c r="F842" s="43"/>
      <c r="G842" s="43"/>
      <c r="H842" s="43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42"/>
      <c r="B843" s="42"/>
      <c r="C843" s="43"/>
      <c r="D843" s="43"/>
      <c r="E843" s="43"/>
      <c r="F843" s="43"/>
      <c r="G843" s="43"/>
      <c r="H843" s="43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42"/>
      <c r="B844" s="42"/>
      <c r="C844" s="43"/>
      <c r="D844" s="43"/>
      <c r="E844" s="43"/>
      <c r="F844" s="43"/>
      <c r="G844" s="43"/>
      <c r="H844" s="43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42"/>
      <c r="B845" s="42"/>
      <c r="C845" s="43"/>
      <c r="D845" s="43"/>
      <c r="E845" s="43"/>
      <c r="F845" s="43"/>
      <c r="G845" s="43"/>
      <c r="H845" s="43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42"/>
      <c r="B846" s="42"/>
      <c r="C846" s="43"/>
      <c r="D846" s="43"/>
      <c r="E846" s="43"/>
      <c r="F846" s="43"/>
      <c r="G846" s="43"/>
      <c r="H846" s="43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42"/>
      <c r="B847" s="42"/>
      <c r="C847" s="43"/>
      <c r="D847" s="43"/>
      <c r="E847" s="43"/>
      <c r="F847" s="43"/>
      <c r="G847" s="43"/>
      <c r="H847" s="43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42"/>
      <c r="B848" s="42"/>
      <c r="C848" s="43"/>
      <c r="D848" s="43"/>
      <c r="E848" s="43"/>
      <c r="F848" s="43"/>
      <c r="G848" s="43"/>
      <c r="H848" s="43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42"/>
      <c r="B849" s="42"/>
      <c r="C849" s="43"/>
      <c r="D849" s="43"/>
      <c r="E849" s="43"/>
      <c r="F849" s="43"/>
      <c r="G849" s="43"/>
      <c r="H849" s="43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42"/>
      <c r="B850" s="42"/>
      <c r="C850" s="43"/>
      <c r="D850" s="43"/>
      <c r="E850" s="43"/>
      <c r="F850" s="43"/>
      <c r="G850" s="43"/>
      <c r="H850" s="43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42"/>
      <c r="B851" s="42"/>
      <c r="C851" s="43"/>
      <c r="D851" s="43"/>
      <c r="E851" s="43"/>
      <c r="F851" s="43"/>
      <c r="G851" s="43"/>
      <c r="H851" s="43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42"/>
      <c r="B852" s="42"/>
      <c r="C852" s="43"/>
      <c r="D852" s="43"/>
      <c r="E852" s="43"/>
      <c r="F852" s="43"/>
      <c r="G852" s="43"/>
      <c r="H852" s="43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42"/>
      <c r="B853" s="42"/>
      <c r="C853" s="43"/>
      <c r="D853" s="43"/>
      <c r="E853" s="43"/>
      <c r="F853" s="43"/>
      <c r="G853" s="43"/>
      <c r="H853" s="43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42"/>
      <c r="B854" s="42"/>
      <c r="C854" s="43"/>
      <c r="D854" s="43"/>
      <c r="E854" s="43"/>
      <c r="F854" s="43"/>
      <c r="G854" s="43"/>
      <c r="H854" s="43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42"/>
      <c r="B855" s="42"/>
      <c r="C855" s="43"/>
      <c r="D855" s="43"/>
      <c r="E855" s="43"/>
      <c r="F855" s="43"/>
      <c r="G855" s="43"/>
      <c r="H855" s="43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42"/>
      <c r="B856" s="42"/>
      <c r="C856" s="43"/>
      <c r="D856" s="43"/>
      <c r="E856" s="43"/>
      <c r="F856" s="43"/>
      <c r="G856" s="43"/>
      <c r="H856" s="43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42"/>
      <c r="B857" s="42"/>
      <c r="C857" s="43"/>
      <c r="D857" s="43"/>
      <c r="E857" s="43"/>
      <c r="F857" s="43"/>
      <c r="G857" s="43"/>
      <c r="H857" s="43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42"/>
      <c r="B858" s="42"/>
      <c r="C858" s="43"/>
      <c r="D858" s="43"/>
      <c r="E858" s="43"/>
      <c r="F858" s="43"/>
      <c r="G858" s="43"/>
      <c r="H858" s="43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42"/>
      <c r="B859" s="42"/>
      <c r="C859" s="43"/>
      <c r="D859" s="43"/>
      <c r="E859" s="43"/>
      <c r="F859" s="43"/>
      <c r="G859" s="43"/>
      <c r="H859" s="43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42"/>
      <c r="B860" s="42"/>
      <c r="C860" s="43"/>
      <c r="D860" s="43"/>
      <c r="E860" s="43"/>
      <c r="F860" s="43"/>
      <c r="G860" s="43"/>
      <c r="H860" s="43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42"/>
      <c r="B861" s="42"/>
      <c r="C861" s="43"/>
      <c r="D861" s="43"/>
      <c r="E861" s="43"/>
      <c r="F861" s="43"/>
      <c r="G861" s="43"/>
      <c r="H861" s="43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42"/>
      <c r="B862" s="42"/>
      <c r="C862" s="43"/>
      <c r="D862" s="43"/>
      <c r="E862" s="43"/>
      <c r="F862" s="43"/>
      <c r="G862" s="43"/>
      <c r="H862" s="43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42"/>
      <c r="B863" s="42"/>
      <c r="C863" s="43"/>
      <c r="D863" s="43"/>
      <c r="E863" s="43"/>
      <c r="F863" s="43"/>
      <c r="G863" s="43"/>
      <c r="H863" s="43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42"/>
      <c r="B864" s="42"/>
      <c r="C864" s="43"/>
      <c r="D864" s="43"/>
      <c r="E864" s="43"/>
      <c r="F864" s="43"/>
      <c r="G864" s="43"/>
      <c r="H864" s="43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42"/>
      <c r="B865" s="42"/>
      <c r="C865" s="43"/>
      <c r="D865" s="43"/>
      <c r="E865" s="43"/>
      <c r="F865" s="43"/>
      <c r="G865" s="43"/>
      <c r="H865" s="43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42"/>
      <c r="B866" s="42"/>
      <c r="C866" s="43"/>
      <c r="D866" s="43"/>
      <c r="E866" s="43"/>
      <c r="F866" s="43"/>
      <c r="G866" s="43"/>
      <c r="H866" s="43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42"/>
      <c r="B867" s="42"/>
      <c r="C867" s="43"/>
      <c r="D867" s="43"/>
      <c r="E867" s="43"/>
      <c r="F867" s="43"/>
      <c r="G867" s="43"/>
      <c r="H867" s="43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42"/>
      <c r="B868" s="42"/>
      <c r="C868" s="43"/>
      <c r="D868" s="43"/>
      <c r="E868" s="43"/>
      <c r="F868" s="43"/>
      <c r="G868" s="43"/>
      <c r="H868" s="43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42"/>
      <c r="B869" s="42"/>
      <c r="C869" s="43"/>
      <c r="D869" s="43"/>
      <c r="E869" s="43"/>
      <c r="F869" s="43"/>
      <c r="G869" s="43"/>
      <c r="H869" s="43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42"/>
      <c r="B870" s="42"/>
      <c r="C870" s="43"/>
      <c r="D870" s="43"/>
      <c r="E870" s="43"/>
      <c r="F870" s="43"/>
      <c r="G870" s="43"/>
      <c r="H870" s="43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42"/>
      <c r="B871" s="42"/>
      <c r="C871" s="43"/>
      <c r="D871" s="43"/>
      <c r="E871" s="43"/>
      <c r="F871" s="43"/>
      <c r="G871" s="43"/>
      <c r="H871" s="43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42"/>
      <c r="B872" s="42"/>
      <c r="C872" s="43"/>
      <c r="D872" s="43"/>
      <c r="E872" s="43"/>
      <c r="F872" s="43"/>
      <c r="G872" s="43"/>
      <c r="H872" s="43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42"/>
      <c r="B873" s="42"/>
      <c r="C873" s="43"/>
      <c r="D873" s="43"/>
      <c r="E873" s="43"/>
      <c r="F873" s="43"/>
      <c r="G873" s="43"/>
      <c r="H873" s="43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42"/>
      <c r="B874" s="42"/>
      <c r="C874" s="43"/>
      <c r="D874" s="43"/>
      <c r="E874" s="43"/>
      <c r="F874" s="43"/>
      <c r="G874" s="43"/>
      <c r="H874" s="43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42"/>
      <c r="B875" s="42"/>
      <c r="C875" s="43"/>
      <c r="D875" s="43"/>
      <c r="E875" s="43"/>
      <c r="F875" s="43"/>
      <c r="G875" s="43"/>
      <c r="H875" s="43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42"/>
      <c r="B876" s="42"/>
      <c r="C876" s="43"/>
      <c r="D876" s="43"/>
      <c r="E876" s="43"/>
      <c r="F876" s="43"/>
      <c r="G876" s="43"/>
      <c r="H876" s="43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42"/>
      <c r="B877" s="42"/>
      <c r="C877" s="43"/>
      <c r="D877" s="43"/>
      <c r="E877" s="43"/>
      <c r="F877" s="43"/>
      <c r="G877" s="43"/>
      <c r="H877" s="43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42"/>
      <c r="B878" s="42"/>
      <c r="C878" s="43"/>
      <c r="D878" s="43"/>
      <c r="E878" s="43"/>
      <c r="F878" s="43"/>
      <c r="G878" s="43"/>
      <c r="H878" s="43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42"/>
      <c r="B879" s="42"/>
      <c r="C879" s="43"/>
      <c r="D879" s="43"/>
      <c r="E879" s="43"/>
      <c r="F879" s="43"/>
      <c r="G879" s="43"/>
      <c r="H879" s="43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42"/>
      <c r="B880" s="42"/>
      <c r="C880" s="43"/>
      <c r="D880" s="43"/>
      <c r="E880" s="43"/>
      <c r="F880" s="43"/>
      <c r="G880" s="43"/>
      <c r="H880" s="43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42"/>
      <c r="B881" s="42"/>
      <c r="C881" s="43"/>
      <c r="D881" s="43"/>
      <c r="E881" s="43"/>
      <c r="F881" s="43"/>
      <c r="G881" s="43"/>
      <c r="H881" s="43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42"/>
      <c r="B882" s="42"/>
      <c r="C882" s="43"/>
      <c r="D882" s="43"/>
      <c r="E882" s="43"/>
      <c r="F882" s="43"/>
      <c r="G882" s="43"/>
      <c r="H882" s="43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42"/>
      <c r="B883" s="42"/>
      <c r="C883" s="43"/>
      <c r="D883" s="43"/>
      <c r="E883" s="43"/>
      <c r="F883" s="43"/>
      <c r="G883" s="43"/>
      <c r="H883" s="43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42"/>
      <c r="B884" s="42"/>
      <c r="C884" s="43"/>
      <c r="D884" s="43"/>
      <c r="E884" s="43"/>
      <c r="F884" s="43"/>
      <c r="G884" s="43"/>
      <c r="H884" s="43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42"/>
      <c r="B885" s="42"/>
      <c r="C885" s="43"/>
      <c r="D885" s="43"/>
      <c r="E885" s="43"/>
      <c r="F885" s="43"/>
      <c r="G885" s="43"/>
      <c r="H885" s="43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42"/>
      <c r="B886" s="42"/>
      <c r="C886" s="43"/>
      <c r="D886" s="43"/>
      <c r="E886" s="43"/>
      <c r="F886" s="43"/>
      <c r="G886" s="43"/>
      <c r="H886" s="43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42"/>
      <c r="B887" s="42"/>
      <c r="C887" s="43"/>
      <c r="D887" s="43"/>
      <c r="E887" s="43"/>
      <c r="F887" s="43"/>
      <c r="G887" s="43"/>
      <c r="H887" s="43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42"/>
      <c r="B888" s="42"/>
      <c r="C888" s="43"/>
      <c r="D888" s="43"/>
      <c r="E888" s="43"/>
      <c r="F888" s="43"/>
      <c r="G888" s="43"/>
      <c r="H888" s="43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42"/>
      <c r="B889" s="42"/>
      <c r="C889" s="43"/>
      <c r="D889" s="43"/>
      <c r="E889" s="43"/>
      <c r="F889" s="43"/>
      <c r="G889" s="43"/>
      <c r="H889" s="43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42"/>
      <c r="B890" s="42"/>
      <c r="C890" s="43"/>
      <c r="D890" s="43"/>
      <c r="E890" s="43"/>
      <c r="F890" s="43"/>
      <c r="G890" s="43"/>
      <c r="H890" s="43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42"/>
      <c r="B891" s="42"/>
      <c r="C891" s="43"/>
      <c r="D891" s="43"/>
      <c r="E891" s="43"/>
      <c r="F891" s="43"/>
      <c r="G891" s="43"/>
      <c r="H891" s="43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42"/>
      <c r="B892" s="42"/>
      <c r="C892" s="43"/>
      <c r="D892" s="43"/>
      <c r="E892" s="43"/>
      <c r="F892" s="43"/>
      <c r="G892" s="43"/>
      <c r="H892" s="43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42"/>
      <c r="B893" s="42"/>
      <c r="C893" s="43"/>
      <c r="D893" s="43"/>
      <c r="E893" s="43"/>
      <c r="F893" s="43"/>
      <c r="G893" s="43"/>
      <c r="H893" s="43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42"/>
      <c r="B894" s="42"/>
      <c r="C894" s="43"/>
      <c r="D894" s="43"/>
      <c r="E894" s="43"/>
      <c r="F894" s="43"/>
      <c r="G894" s="43"/>
      <c r="H894" s="43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42"/>
      <c r="B895" s="42"/>
      <c r="C895" s="43"/>
      <c r="D895" s="43"/>
      <c r="E895" s="43"/>
      <c r="F895" s="43"/>
      <c r="G895" s="43"/>
      <c r="H895" s="43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42"/>
      <c r="B896" s="42"/>
      <c r="C896" s="43"/>
      <c r="D896" s="43"/>
      <c r="E896" s="43"/>
      <c r="F896" s="43"/>
      <c r="G896" s="43"/>
      <c r="H896" s="43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42"/>
      <c r="B897" s="42"/>
      <c r="C897" s="43"/>
      <c r="D897" s="43"/>
      <c r="E897" s="43"/>
      <c r="F897" s="43"/>
      <c r="G897" s="43"/>
      <c r="H897" s="43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42"/>
      <c r="B898" s="42"/>
      <c r="C898" s="43"/>
      <c r="D898" s="43"/>
      <c r="E898" s="43"/>
      <c r="F898" s="43"/>
      <c r="G898" s="43"/>
      <c r="H898" s="43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42"/>
      <c r="B899" s="42"/>
      <c r="C899" s="43"/>
      <c r="D899" s="43"/>
      <c r="E899" s="43"/>
      <c r="F899" s="43"/>
      <c r="G899" s="43"/>
      <c r="H899" s="43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42"/>
      <c r="B900" s="42"/>
      <c r="C900" s="43"/>
      <c r="D900" s="43"/>
      <c r="E900" s="43"/>
      <c r="F900" s="43"/>
      <c r="G900" s="43"/>
      <c r="H900" s="43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42"/>
      <c r="B901" s="42"/>
      <c r="C901" s="43"/>
      <c r="D901" s="43"/>
      <c r="E901" s="43"/>
      <c r="F901" s="43"/>
      <c r="G901" s="43"/>
      <c r="H901" s="43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42"/>
      <c r="B902" s="42"/>
      <c r="C902" s="43"/>
      <c r="D902" s="43"/>
      <c r="E902" s="43"/>
      <c r="F902" s="43"/>
      <c r="G902" s="43"/>
      <c r="H902" s="43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42"/>
      <c r="B903" s="42"/>
      <c r="C903" s="43"/>
      <c r="D903" s="43"/>
      <c r="E903" s="43"/>
      <c r="F903" s="43"/>
      <c r="G903" s="43"/>
      <c r="H903" s="43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42"/>
      <c r="B904" s="42"/>
      <c r="C904" s="43"/>
      <c r="D904" s="43"/>
      <c r="E904" s="43"/>
      <c r="F904" s="43"/>
      <c r="G904" s="43"/>
      <c r="H904" s="43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42"/>
      <c r="B905" s="42"/>
      <c r="C905" s="43"/>
      <c r="D905" s="43"/>
      <c r="E905" s="43"/>
      <c r="F905" s="43"/>
      <c r="G905" s="43"/>
      <c r="H905" s="43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42"/>
      <c r="B906" s="42"/>
      <c r="C906" s="43"/>
      <c r="D906" s="43"/>
      <c r="E906" s="43"/>
      <c r="F906" s="43"/>
      <c r="G906" s="43"/>
      <c r="H906" s="43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42"/>
      <c r="B907" s="42"/>
      <c r="C907" s="43"/>
      <c r="D907" s="43"/>
      <c r="E907" s="43"/>
      <c r="F907" s="43"/>
      <c r="G907" s="43"/>
      <c r="H907" s="43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42"/>
      <c r="B908" s="42"/>
      <c r="C908" s="43"/>
      <c r="D908" s="43"/>
      <c r="E908" s="43"/>
      <c r="F908" s="43"/>
      <c r="G908" s="43"/>
      <c r="H908" s="43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42"/>
      <c r="B909" s="42"/>
      <c r="C909" s="43"/>
      <c r="D909" s="43"/>
      <c r="E909" s="43"/>
      <c r="F909" s="43"/>
      <c r="G909" s="43"/>
      <c r="H909" s="43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42"/>
      <c r="B910" s="42"/>
      <c r="C910" s="43"/>
      <c r="D910" s="43"/>
      <c r="E910" s="43"/>
      <c r="F910" s="43"/>
      <c r="G910" s="43"/>
      <c r="H910" s="43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42"/>
      <c r="B911" s="42"/>
      <c r="C911" s="43"/>
      <c r="D911" s="43"/>
      <c r="E911" s="43"/>
      <c r="F911" s="43"/>
      <c r="G911" s="43"/>
      <c r="H911" s="43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42"/>
      <c r="B912" s="42"/>
      <c r="C912" s="43"/>
      <c r="D912" s="43"/>
      <c r="E912" s="43"/>
      <c r="F912" s="43"/>
      <c r="G912" s="43"/>
      <c r="H912" s="43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42"/>
      <c r="B913" s="42"/>
      <c r="C913" s="43"/>
      <c r="D913" s="43"/>
      <c r="E913" s="43"/>
      <c r="F913" s="43"/>
      <c r="G913" s="43"/>
      <c r="H913" s="43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42"/>
      <c r="B914" s="42"/>
      <c r="C914" s="43"/>
      <c r="D914" s="43"/>
      <c r="E914" s="43"/>
      <c r="F914" s="43"/>
      <c r="G914" s="43"/>
      <c r="H914" s="43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42"/>
      <c r="B915" s="42"/>
      <c r="C915" s="43"/>
      <c r="D915" s="43"/>
      <c r="E915" s="43"/>
      <c r="F915" s="43"/>
      <c r="G915" s="43"/>
      <c r="H915" s="43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42"/>
      <c r="B916" s="42"/>
      <c r="C916" s="43"/>
      <c r="D916" s="43"/>
      <c r="E916" s="43"/>
      <c r="F916" s="43"/>
      <c r="G916" s="43"/>
      <c r="H916" s="43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42"/>
      <c r="B917" s="42"/>
      <c r="C917" s="43"/>
      <c r="D917" s="43"/>
      <c r="E917" s="43"/>
      <c r="F917" s="43"/>
      <c r="G917" s="43"/>
      <c r="H917" s="43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42"/>
      <c r="B918" s="42"/>
      <c r="C918" s="43"/>
      <c r="D918" s="43"/>
      <c r="E918" s="43"/>
      <c r="F918" s="43"/>
      <c r="G918" s="43"/>
      <c r="H918" s="43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42"/>
      <c r="B919" s="42"/>
      <c r="C919" s="43"/>
      <c r="D919" s="43"/>
      <c r="E919" s="43"/>
      <c r="F919" s="43"/>
      <c r="G919" s="43"/>
      <c r="H919" s="43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42"/>
      <c r="B920" s="42"/>
      <c r="C920" s="43"/>
      <c r="D920" s="43"/>
      <c r="E920" s="43"/>
      <c r="F920" s="43"/>
      <c r="G920" s="43"/>
      <c r="H920" s="43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42"/>
      <c r="B921" s="42"/>
      <c r="C921" s="43"/>
      <c r="D921" s="43"/>
      <c r="E921" s="43"/>
      <c r="F921" s="43"/>
      <c r="G921" s="43"/>
      <c r="H921" s="43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42"/>
      <c r="B922" s="42"/>
      <c r="C922" s="43"/>
      <c r="D922" s="43"/>
      <c r="E922" s="43"/>
      <c r="F922" s="43"/>
      <c r="G922" s="43"/>
      <c r="H922" s="43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42"/>
      <c r="B923" s="42"/>
      <c r="C923" s="43"/>
      <c r="D923" s="43"/>
      <c r="E923" s="43"/>
      <c r="F923" s="43"/>
      <c r="G923" s="43"/>
      <c r="H923" s="43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42"/>
      <c r="B924" s="42"/>
      <c r="C924" s="43"/>
      <c r="D924" s="43"/>
      <c r="E924" s="43"/>
      <c r="F924" s="43"/>
      <c r="G924" s="43"/>
      <c r="H924" s="43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42"/>
      <c r="B925" s="42"/>
      <c r="C925" s="43"/>
      <c r="D925" s="43"/>
      <c r="E925" s="43"/>
      <c r="F925" s="43"/>
      <c r="G925" s="43"/>
      <c r="H925" s="43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42"/>
      <c r="B926" s="42"/>
      <c r="C926" s="43"/>
      <c r="D926" s="43"/>
      <c r="E926" s="43"/>
      <c r="F926" s="43"/>
      <c r="G926" s="43"/>
      <c r="H926" s="43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42"/>
      <c r="B927" s="42"/>
      <c r="C927" s="43"/>
      <c r="D927" s="43"/>
      <c r="E927" s="43"/>
      <c r="F927" s="43"/>
      <c r="G927" s="43"/>
      <c r="H927" s="43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42"/>
      <c r="B928" s="42"/>
      <c r="C928" s="43"/>
      <c r="D928" s="43"/>
      <c r="E928" s="43"/>
      <c r="F928" s="43"/>
      <c r="G928" s="43"/>
      <c r="H928" s="43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42"/>
      <c r="B929" s="42"/>
      <c r="C929" s="43"/>
      <c r="D929" s="43"/>
      <c r="E929" s="43"/>
      <c r="F929" s="43"/>
      <c r="G929" s="43"/>
      <c r="H929" s="43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42"/>
      <c r="B930" s="42"/>
      <c r="C930" s="43"/>
      <c r="D930" s="43"/>
      <c r="E930" s="43"/>
      <c r="F930" s="43"/>
      <c r="G930" s="43"/>
      <c r="H930" s="43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42"/>
      <c r="B931" s="42"/>
      <c r="C931" s="43"/>
      <c r="D931" s="43"/>
      <c r="E931" s="43"/>
      <c r="F931" s="43"/>
      <c r="G931" s="43"/>
      <c r="H931" s="43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42"/>
      <c r="B932" s="42"/>
      <c r="C932" s="43"/>
      <c r="D932" s="43"/>
      <c r="E932" s="43"/>
      <c r="F932" s="43"/>
      <c r="G932" s="43"/>
      <c r="H932" s="43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42"/>
      <c r="B933" s="42"/>
      <c r="C933" s="43"/>
      <c r="D933" s="43"/>
      <c r="E933" s="43"/>
      <c r="F933" s="43"/>
      <c r="G933" s="43"/>
      <c r="H933" s="43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42"/>
      <c r="B934" s="42"/>
      <c r="C934" s="43"/>
      <c r="D934" s="43"/>
      <c r="E934" s="43"/>
      <c r="F934" s="43"/>
      <c r="G934" s="43"/>
      <c r="H934" s="43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42"/>
      <c r="B935" s="42"/>
      <c r="C935" s="43"/>
      <c r="D935" s="43"/>
      <c r="E935" s="43"/>
      <c r="F935" s="43"/>
      <c r="G935" s="43"/>
      <c r="H935" s="43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42"/>
      <c r="B936" s="42"/>
      <c r="C936" s="43"/>
      <c r="D936" s="43"/>
      <c r="E936" s="43"/>
      <c r="F936" s="43"/>
      <c r="G936" s="43"/>
      <c r="H936" s="43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42"/>
      <c r="B937" s="42"/>
      <c r="C937" s="43"/>
      <c r="D937" s="43"/>
      <c r="E937" s="43"/>
      <c r="F937" s="43"/>
      <c r="G937" s="43"/>
      <c r="H937" s="43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42"/>
      <c r="B938" s="42"/>
      <c r="C938" s="43"/>
      <c r="D938" s="43"/>
      <c r="E938" s="43"/>
      <c r="F938" s="43"/>
      <c r="G938" s="43"/>
      <c r="H938" s="43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42"/>
      <c r="B939" s="42"/>
      <c r="C939" s="43"/>
      <c r="D939" s="43"/>
      <c r="E939" s="43"/>
      <c r="F939" s="43"/>
      <c r="G939" s="43"/>
      <c r="H939" s="43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42"/>
      <c r="B940" s="42"/>
      <c r="C940" s="43"/>
      <c r="D940" s="43"/>
      <c r="E940" s="43"/>
      <c r="F940" s="43"/>
      <c r="G940" s="43"/>
      <c r="H940" s="43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42"/>
      <c r="B941" s="42"/>
      <c r="C941" s="43"/>
      <c r="D941" s="43"/>
      <c r="E941" s="43"/>
      <c r="F941" s="43"/>
      <c r="G941" s="43"/>
      <c r="H941" s="43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42"/>
      <c r="B942" s="42"/>
      <c r="C942" s="43"/>
      <c r="D942" s="43"/>
      <c r="E942" s="43"/>
      <c r="F942" s="43"/>
      <c r="G942" s="43"/>
      <c r="H942" s="43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42"/>
      <c r="B943" s="42"/>
      <c r="C943" s="43"/>
      <c r="D943" s="43"/>
      <c r="E943" s="43"/>
      <c r="F943" s="43"/>
      <c r="G943" s="43"/>
      <c r="H943" s="43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42"/>
      <c r="B944" s="42"/>
      <c r="C944" s="43"/>
      <c r="D944" s="43"/>
      <c r="E944" s="43"/>
      <c r="F944" s="43"/>
      <c r="G944" s="43"/>
      <c r="H944" s="43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42"/>
      <c r="B945" s="42"/>
      <c r="C945" s="43"/>
      <c r="D945" s="43"/>
      <c r="E945" s="43"/>
      <c r="F945" s="43"/>
      <c r="G945" s="43"/>
      <c r="H945" s="43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42"/>
      <c r="B946" s="42"/>
      <c r="C946" s="43"/>
      <c r="D946" s="43"/>
      <c r="E946" s="43"/>
      <c r="F946" s="43"/>
      <c r="G946" s="43"/>
      <c r="H946" s="43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42"/>
      <c r="B947" s="42"/>
      <c r="C947" s="43"/>
      <c r="D947" s="43"/>
      <c r="E947" s="43"/>
      <c r="F947" s="43"/>
      <c r="G947" s="43"/>
      <c r="H947" s="43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42"/>
      <c r="B948" s="42"/>
      <c r="C948" s="43"/>
      <c r="D948" s="43"/>
      <c r="E948" s="43"/>
      <c r="F948" s="43"/>
      <c r="G948" s="43"/>
      <c r="H948" s="43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42"/>
      <c r="B949" s="42"/>
      <c r="C949" s="43"/>
      <c r="D949" s="43"/>
      <c r="E949" s="43"/>
      <c r="F949" s="43"/>
      <c r="G949" s="43"/>
      <c r="H949" s="43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42"/>
      <c r="B950" s="42"/>
      <c r="C950" s="43"/>
      <c r="D950" s="43"/>
      <c r="E950" s="43"/>
      <c r="F950" s="43"/>
      <c r="G950" s="43"/>
      <c r="H950" s="43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42"/>
      <c r="B951" s="42"/>
      <c r="C951" s="43"/>
      <c r="D951" s="43"/>
      <c r="E951" s="43"/>
      <c r="F951" s="43"/>
      <c r="G951" s="43"/>
      <c r="H951" s="43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42"/>
      <c r="B952" s="42"/>
      <c r="C952" s="43"/>
      <c r="D952" s="43"/>
      <c r="E952" s="43"/>
      <c r="F952" s="43"/>
      <c r="G952" s="43"/>
      <c r="H952" s="43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42"/>
      <c r="B953" s="42"/>
      <c r="C953" s="43"/>
      <c r="D953" s="43"/>
      <c r="E953" s="43"/>
      <c r="F953" s="43"/>
      <c r="G953" s="43"/>
      <c r="H953" s="43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42"/>
      <c r="B954" s="42"/>
      <c r="C954" s="43"/>
      <c r="D954" s="43"/>
      <c r="E954" s="43"/>
      <c r="F954" s="43"/>
      <c r="G954" s="43"/>
      <c r="H954" s="43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42"/>
      <c r="B955" s="42"/>
      <c r="C955" s="43"/>
      <c r="D955" s="43"/>
      <c r="E955" s="43"/>
      <c r="F955" s="43"/>
      <c r="G955" s="43"/>
      <c r="H955" s="43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42"/>
      <c r="B956" s="42"/>
      <c r="C956" s="43"/>
      <c r="D956" s="43"/>
      <c r="E956" s="43"/>
      <c r="F956" s="43"/>
      <c r="G956" s="43"/>
      <c r="H956" s="43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42"/>
      <c r="B957" s="42"/>
      <c r="C957" s="43"/>
      <c r="D957" s="43"/>
      <c r="E957" s="43"/>
      <c r="F957" s="43"/>
      <c r="G957" s="43"/>
      <c r="H957" s="43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42"/>
      <c r="B958" s="42"/>
      <c r="C958" s="43"/>
      <c r="D958" s="43"/>
      <c r="E958" s="43"/>
      <c r="F958" s="43"/>
      <c r="G958" s="43"/>
      <c r="H958" s="43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42"/>
      <c r="B959" s="42"/>
      <c r="C959" s="43"/>
      <c r="D959" s="43"/>
      <c r="E959" s="43"/>
      <c r="F959" s="43"/>
      <c r="G959" s="43"/>
      <c r="H959" s="43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42"/>
      <c r="B960" s="42"/>
      <c r="C960" s="43"/>
      <c r="D960" s="43"/>
      <c r="E960" s="43"/>
      <c r="F960" s="43"/>
      <c r="G960" s="43"/>
      <c r="H960" s="43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42"/>
      <c r="B961" s="42"/>
      <c r="C961" s="43"/>
      <c r="D961" s="43"/>
      <c r="E961" s="43"/>
      <c r="F961" s="43"/>
      <c r="G961" s="43"/>
      <c r="H961" s="43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42"/>
      <c r="B962" s="42"/>
      <c r="C962" s="43"/>
      <c r="D962" s="43"/>
      <c r="E962" s="43"/>
      <c r="F962" s="43"/>
      <c r="G962" s="43"/>
      <c r="H962" s="43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42"/>
      <c r="B963" s="42"/>
      <c r="C963" s="43"/>
      <c r="D963" s="43"/>
      <c r="E963" s="43"/>
      <c r="F963" s="43"/>
      <c r="G963" s="43"/>
      <c r="H963" s="43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42"/>
      <c r="B964" s="42"/>
      <c r="C964" s="43"/>
      <c r="D964" s="43"/>
      <c r="E964" s="43"/>
      <c r="F964" s="43"/>
      <c r="G964" s="43"/>
      <c r="H964" s="43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42"/>
      <c r="B965" s="42"/>
      <c r="C965" s="43"/>
      <c r="D965" s="43"/>
      <c r="E965" s="43"/>
      <c r="F965" s="43"/>
      <c r="G965" s="43"/>
      <c r="H965" s="43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42"/>
      <c r="B966" s="42"/>
      <c r="C966" s="43"/>
      <c r="D966" s="43"/>
      <c r="E966" s="43"/>
      <c r="F966" s="43"/>
      <c r="G966" s="43"/>
      <c r="H966" s="43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42"/>
      <c r="B967" s="42"/>
      <c r="C967" s="43"/>
      <c r="D967" s="43"/>
      <c r="E967" s="43"/>
      <c r="F967" s="43"/>
      <c r="G967" s="43"/>
      <c r="H967" s="43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42"/>
      <c r="B968" s="42"/>
      <c r="C968" s="43"/>
      <c r="D968" s="43"/>
      <c r="E968" s="43"/>
      <c r="F968" s="43"/>
      <c r="G968" s="43"/>
      <c r="H968" s="43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42"/>
      <c r="B969" s="42"/>
      <c r="C969" s="43"/>
      <c r="D969" s="43"/>
      <c r="E969" s="43"/>
      <c r="F969" s="43"/>
      <c r="G969" s="43"/>
      <c r="H969" s="43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42"/>
      <c r="B970" s="42"/>
      <c r="C970" s="43"/>
      <c r="D970" s="43"/>
      <c r="E970" s="43"/>
      <c r="F970" s="43"/>
      <c r="G970" s="43"/>
      <c r="H970" s="43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42"/>
      <c r="B971" s="42"/>
      <c r="C971" s="43"/>
      <c r="D971" s="43"/>
      <c r="E971" s="43"/>
      <c r="F971" s="43"/>
      <c r="G971" s="43"/>
      <c r="H971" s="43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42"/>
      <c r="B972" s="42"/>
      <c r="C972" s="43"/>
      <c r="D972" s="43"/>
      <c r="E972" s="43"/>
      <c r="F972" s="43"/>
      <c r="G972" s="43"/>
      <c r="H972" s="43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42"/>
      <c r="B973" s="42"/>
      <c r="C973" s="43"/>
      <c r="D973" s="43"/>
      <c r="E973" s="43"/>
      <c r="F973" s="43"/>
      <c r="G973" s="43"/>
      <c r="H973" s="43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42"/>
      <c r="B974" s="42"/>
      <c r="C974" s="43"/>
      <c r="D974" s="43"/>
      <c r="E974" s="43"/>
      <c r="F974" s="43"/>
      <c r="G974" s="43"/>
      <c r="H974" s="43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42"/>
      <c r="B975" s="42"/>
      <c r="C975" s="43"/>
      <c r="D975" s="43"/>
      <c r="E975" s="43"/>
      <c r="F975" s="43"/>
      <c r="G975" s="43"/>
      <c r="H975" s="43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42"/>
      <c r="B976" s="42"/>
      <c r="C976" s="43"/>
      <c r="D976" s="43"/>
      <c r="E976" s="43"/>
      <c r="F976" s="43"/>
      <c r="G976" s="43"/>
      <c r="H976" s="43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42"/>
      <c r="B977" s="42"/>
      <c r="C977" s="43"/>
      <c r="D977" s="43"/>
      <c r="E977" s="43"/>
      <c r="F977" s="43"/>
      <c r="G977" s="43"/>
      <c r="H977" s="43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</sheetData>
  <autoFilter ref="$A$2:$AD$32">
    <sortState ref="A2:AD32">
      <sortCondition ref="C2:C32"/>
    </sortState>
  </autoFilter>
  <mergeCells count="2">
    <mergeCell ref="D1:E1"/>
    <mergeCell ref="F1:G1"/>
  </mergeCells>
  <printOptions/>
  <pageMargins bottom="0.75" footer="0.0" header="0.0" left="0.7" right="0.7" top="0.75"/>
  <pageSetup fitToWidth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5.88"/>
    <col customWidth="1" min="3" max="5" width="17.63"/>
    <col customWidth="1" min="6" max="6" width="44.63"/>
    <col customWidth="1" min="7" max="28" width="8.88"/>
  </cols>
  <sheetData>
    <row r="1">
      <c r="A1" s="2" t="s">
        <v>0</v>
      </c>
      <c r="B1" s="2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9">
        <v>1.0</v>
      </c>
      <c r="B2" s="13" t="s">
        <v>8</v>
      </c>
      <c r="C2" s="15" t="s">
        <v>13</v>
      </c>
      <c r="D2" s="15">
        <v>55.0</v>
      </c>
      <c r="E2" s="16"/>
      <c r="F2" s="1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9">
        <v>2.0</v>
      </c>
      <c r="B3" s="13" t="s">
        <v>17</v>
      </c>
      <c r="C3" s="15" t="s">
        <v>13</v>
      </c>
      <c r="D3" s="15">
        <v>7.0</v>
      </c>
      <c r="E3" s="16"/>
      <c r="F3" s="1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9">
        <v>3.0</v>
      </c>
      <c r="B4" s="13" t="s">
        <v>19</v>
      </c>
      <c r="C4" s="15" t="s">
        <v>13</v>
      </c>
      <c r="D4" s="15">
        <f>6.23-1.5</f>
        <v>4.73</v>
      </c>
      <c r="E4" s="16"/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9">
        <v>4.0</v>
      </c>
      <c r="B5" s="13" t="s">
        <v>23</v>
      </c>
      <c r="C5" s="15" t="s">
        <v>18</v>
      </c>
      <c r="D5" s="15">
        <v>2.5</v>
      </c>
      <c r="E5" s="16"/>
      <c r="F5" s="1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9">
        <v>5.0</v>
      </c>
      <c r="B6" s="13" t="s">
        <v>28</v>
      </c>
      <c r="C6" s="15" t="s">
        <v>18</v>
      </c>
      <c r="D6" s="15">
        <v>4.0</v>
      </c>
      <c r="E6" s="16"/>
      <c r="F6" s="1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9">
        <v>6.0</v>
      </c>
      <c r="B7" s="13" t="s">
        <v>32</v>
      </c>
      <c r="C7" s="15" t="s">
        <v>18</v>
      </c>
      <c r="D7" s="15">
        <v>3.0</v>
      </c>
      <c r="E7" s="16"/>
      <c r="F7" s="1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9">
        <v>7.0</v>
      </c>
      <c r="B8" s="13" t="s">
        <v>36</v>
      </c>
      <c r="C8" s="15" t="s">
        <v>18</v>
      </c>
      <c r="D8" s="15">
        <v>5.5</v>
      </c>
      <c r="E8" s="16"/>
      <c r="F8" s="1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9">
        <v>8.0</v>
      </c>
      <c r="B9" s="13" t="s">
        <v>40</v>
      </c>
      <c r="C9" s="15" t="s">
        <v>18</v>
      </c>
      <c r="D9" s="15">
        <v>6.0</v>
      </c>
      <c r="E9" s="16"/>
      <c r="F9" s="1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9">
        <v>9.0</v>
      </c>
      <c r="B10" s="13" t="s">
        <v>44</v>
      </c>
      <c r="C10" s="15" t="s">
        <v>18</v>
      </c>
      <c r="D10" s="15">
        <v>7.0</v>
      </c>
      <c r="E10" s="16"/>
      <c r="F10" s="1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9">
        <v>10.0</v>
      </c>
      <c r="B11" s="13" t="s">
        <v>46</v>
      </c>
      <c r="C11" s="15" t="s">
        <v>18</v>
      </c>
      <c r="D11" s="15">
        <v>15.0</v>
      </c>
      <c r="E11" s="16"/>
      <c r="F11" s="1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9">
        <v>11.0</v>
      </c>
      <c r="B12" s="13" t="s">
        <v>50</v>
      </c>
      <c r="C12" s="15" t="s">
        <v>18</v>
      </c>
      <c r="D12" s="15">
        <v>15.0</v>
      </c>
      <c r="E12" s="16"/>
      <c r="F12" s="1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9">
        <v>12.0</v>
      </c>
      <c r="B13" s="13" t="s">
        <v>54</v>
      </c>
      <c r="C13" s="15" t="s">
        <v>18</v>
      </c>
      <c r="D13" s="15">
        <v>10.0</v>
      </c>
      <c r="E13" s="16"/>
      <c r="F13" s="1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9">
        <v>13.0</v>
      </c>
      <c r="B14" s="13" t="s">
        <v>57</v>
      </c>
      <c r="C14" s="15" t="s">
        <v>18</v>
      </c>
      <c r="D14" s="15">
        <v>3.0</v>
      </c>
      <c r="E14" s="16"/>
      <c r="F14" s="1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9">
        <v>14.0</v>
      </c>
      <c r="B15" s="13" t="s">
        <v>61</v>
      </c>
      <c r="C15" s="15" t="s">
        <v>60</v>
      </c>
      <c r="D15" s="15">
        <v>5.0</v>
      </c>
      <c r="E15" s="16"/>
      <c r="F15" s="1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9">
        <v>15.0</v>
      </c>
      <c r="B16" s="13" t="s">
        <v>64</v>
      </c>
      <c r="C16" s="15" t="s">
        <v>60</v>
      </c>
      <c r="D16" s="15">
        <v>5.0</v>
      </c>
      <c r="E16" s="16"/>
      <c r="F16" s="1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9">
        <v>16.0</v>
      </c>
      <c r="B17" s="13" t="s">
        <v>66</v>
      </c>
      <c r="C17" s="15" t="s">
        <v>60</v>
      </c>
      <c r="D17" s="15">
        <v>10.0</v>
      </c>
      <c r="E17" s="16"/>
      <c r="F17" s="1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9">
        <v>17.0</v>
      </c>
      <c r="B18" s="13" t="s">
        <v>69</v>
      </c>
      <c r="C18" s="15" t="s">
        <v>60</v>
      </c>
      <c r="D18" s="15">
        <v>3.0</v>
      </c>
      <c r="E18" s="16"/>
      <c r="F18" s="1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9">
        <v>18.0</v>
      </c>
      <c r="B19" s="13" t="s">
        <v>70</v>
      </c>
      <c r="C19" s="15" t="s">
        <v>60</v>
      </c>
      <c r="D19" s="15">
        <v>10.0</v>
      </c>
      <c r="E19" s="16"/>
      <c r="F19" s="1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9">
        <v>19.0</v>
      </c>
      <c r="B20" s="13" t="s">
        <v>73</v>
      </c>
      <c r="C20" s="15" t="s">
        <v>60</v>
      </c>
      <c r="D20" s="15">
        <v>20.0</v>
      </c>
      <c r="E20" s="16"/>
      <c r="F20" s="1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9">
        <v>20.0</v>
      </c>
      <c r="B21" s="13" t="s">
        <v>75</v>
      </c>
      <c r="C21" s="15" t="s">
        <v>60</v>
      </c>
      <c r="D21" s="15">
        <v>5.0</v>
      </c>
      <c r="E21" s="16"/>
      <c r="F21" s="1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9">
        <v>21.0</v>
      </c>
      <c r="B22" s="13" t="s">
        <v>76</v>
      </c>
      <c r="C22" s="15" t="s">
        <v>60</v>
      </c>
      <c r="D22" s="15">
        <v>1.86</v>
      </c>
      <c r="E22" s="16"/>
      <c r="F22" s="1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9">
        <v>22.0</v>
      </c>
      <c r="B23" s="13" t="s">
        <v>81</v>
      </c>
      <c r="C23" s="15" t="s">
        <v>60</v>
      </c>
      <c r="D23" s="15">
        <v>1.5</v>
      </c>
      <c r="E23" s="16"/>
      <c r="F23" s="1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9">
        <v>23.0</v>
      </c>
      <c r="B24" s="13" t="s">
        <v>84</v>
      </c>
      <c r="C24" s="15" t="s">
        <v>60</v>
      </c>
      <c r="D24" s="15">
        <v>2.0</v>
      </c>
      <c r="E24" s="16"/>
      <c r="F24" s="1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9">
        <v>24.0</v>
      </c>
      <c r="B25" s="13" t="s">
        <v>87</v>
      </c>
      <c r="C25" s="15" t="s">
        <v>60</v>
      </c>
      <c r="D25" s="15">
        <v>2.0</v>
      </c>
      <c r="E25" s="16"/>
      <c r="F25" s="1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9">
        <v>25.0</v>
      </c>
      <c r="B26" s="13" t="s">
        <v>91</v>
      </c>
      <c r="C26" s="15" t="s">
        <v>60</v>
      </c>
      <c r="D26" s="15">
        <v>4.0</v>
      </c>
      <c r="E26" s="16"/>
      <c r="F26" s="1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9">
        <v>26.0</v>
      </c>
      <c r="B27" s="13" t="s">
        <v>95</v>
      </c>
      <c r="C27" s="16"/>
      <c r="D27" s="15">
        <v>200.0</v>
      </c>
      <c r="E27" s="16"/>
      <c r="F27" s="1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9"/>
      <c r="B28" s="13"/>
      <c r="C28" s="16"/>
      <c r="D28" s="15"/>
      <c r="E28" s="16"/>
      <c r="F28" s="1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9"/>
      <c r="B29" s="9"/>
      <c r="C29" s="16"/>
      <c r="D29" s="16"/>
      <c r="E29" s="16"/>
      <c r="F29" s="1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9"/>
      <c r="B30" s="9"/>
      <c r="C30" s="16"/>
      <c r="D30" s="16"/>
      <c r="E30" s="16"/>
      <c r="F30" s="1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9"/>
      <c r="B31" s="9"/>
      <c r="C31" s="16"/>
      <c r="D31" s="16"/>
      <c r="E31" s="16"/>
      <c r="F31" s="1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9"/>
      <c r="B32" s="9"/>
      <c r="C32" s="16"/>
      <c r="D32" s="16"/>
      <c r="E32" s="16"/>
      <c r="F32" s="1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9"/>
      <c r="B33" s="9"/>
      <c r="C33" s="16"/>
      <c r="D33" s="16"/>
      <c r="E33" s="16"/>
      <c r="F33" s="1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9"/>
      <c r="B34" s="9" t="s">
        <v>111</v>
      </c>
      <c r="C34" s="16"/>
      <c r="D34" s="16">
        <f>SUM(D2:D33)</f>
        <v>407.09</v>
      </c>
      <c r="E34" s="16"/>
      <c r="F34" s="1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42"/>
      <c r="B35" s="42"/>
      <c r="C35" s="43"/>
      <c r="D35" s="43"/>
      <c r="E35" s="43"/>
      <c r="F35" s="4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44" t="s">
        <v>117</v>
      </c>
      <c r="B36" s="42"/>
      <c r="C36" s="43"/>
      <c r="D36" s="43"/>
      <c r="E36" s="43"/>
      <c r="F36" s="4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2" t="s">
        <v>0</v>
      </c>
      <c r="B37" s="2" t="s">
        <v>1</v>
      </c>
      <c r="C37" s="4"/>
      <c r="D37" s="4" t="s">
        <v>4</v>
      </c>
      <c r="E37" s="43"/>
      <c r="F37" s="4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9">
        <v>1.0</v>
      </c>
      <c r="B38" s="9"/>
      <c r="C38" s="16"/>
      <c r="D38" s="16"/>
      <c r="E38" s="43"/>
      <c r="F38" s="4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9">
        <v>2.0</v>
      </c>
      <c r="B39" s="9"/>
      <c r="C39" s="16"/>
      <c r="D39" s="16"/>
      <c r="E39" s="43"/>
      <c r="F39" s="4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9">
        <v>3.0</v>
      </c>
      <c r="B40" s="9"/>
      <c r="C40" s="16"/>
      <c r="D40" s="16"/>
      <c r="E40" s="43"/>
      <c r="F40" s="4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9">
        <v>4.0</v>
      </c>
      <c r="B41" s="9"/>
      <c r="C41" s="16"/>
      <c r="D41" s="16"/>
      <c r="E41" s="43"/>
      <c r="F41" s="4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9">
        <v>5.0</v>
      </c>
      <c r="B42" s="9"/>
      <c r="C42" s="16"/>
      <c r="D42" s="16"/>
      <c r="E42" s="43"/>
      <c r="F42" s="4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9">
        <v>6.0</v>
      </c>
      <c r="B43" s="9"/>
      <c r="C43" s="16"/>
      <c r="D43" s="16"/>
      <c r="E43" s="43"/>
      <c r="F43" s="4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9">
        <v>7.0</v>
      </c>
      <c r="B44" s="9"/>
      <c r="C44" s="16"/>
      <c r="D44" s="16"/>
      <c r="E44" s="43"/>
      <c r="F44" s="4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9">
        <v>8.0</v>
      </c>
      <c r="B45" s="9"/>
      <c r="C45" s="16"/>
      <c r="D45" s="16"/>
      <c r="E45" s="43"/>
      <c r="F45" s="4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9">
        <v>9.0</v>
      </c>
      <c r="B46" s="9"/>
      <c r="C46" s="16"/>
      <c r="D46" s="16"/>
      <c r="E46" s="43"/>
      <c r="F46" s="4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9"/>
      <c r="B47" s="9" t="s">
        <v>111</v>
      </c>
      <c r="C47" s="16"/>
      <c r="D47" s="16">
        <f>SUM(D38:D46)</f>
        <v>0</v>
      </c>
      <c r="E47" s="43"/>
      <c r="F47" s="4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42"/>
      <c r="B48" s="42"/>
      <c r="C48" s="43"/>
      <c r="D48" s="43"/>
      <c r="E48" s="43"/>
      <c r="F48" s="4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42"/>
      <c r="B49" s="42"/>
      <c r="C49" s="43"/>
      <c r="D49" s="43"/>
      <c r="E49" s="43"/>
      <c r="F49" s="4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42"/>
      <c r="B50" s="42"/>
      <c r="C50" s="43"/>
      <c r="D50" s="43"/>
      <c r="E50" s="43"/>
      <c r="F50" s="4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42"/>
      <c r="B51" s="42"/>
      <c r="C51" s="43"/>
      <c r="D51" s="43"/>
      <c r="E51" s="43"/>
      <c r="F51" s="4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42"/>
      <c r="B52" s="42"/>
      <c r="C52" s="43"/>
      <c r="D52" s="43"/>
      <c r="E52" s="43"/>
      <c r="F52" s="4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42"/>
      <c r="B53" s="42"/>
      <c r="C53" s="43"/>
      <c r="D53" s="43"/>
      <c r="E53" s="43"/>
      <c r="F53" s="4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42"/>
      <c r="B54" s="42"/>
      <c r="C54" s="43"/>
      <c r="D54" s="43"/>
      <c r="E54" s="43"/>
      <c r="F54" s="4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42"/>
      <c r="B55" s="42"/>
      <c r="C55" s="43"/>
      <c r="D55" s="43"/>
      <c r="E55" s="43"/>
      <c r="F55" s="4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42"/>
      <c r="B56" s="42"/>
      <c r="C56" s="43"/>
      <c r="D56" s="43"/>
      <c r="E56" s="43"/>
      <c r="F56" s="4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42"/>
      <c r="B57" s="42"/>
      <c r="C57" s="43"/>
      <c r="D57" s="43"/>
      <c r="E57" s="43"/>
      <c r="F57" s="4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42"/>
      <c r="B58" s="42"/>
      <c r="C58" s="43"/>
      <c r="D58" s="43"/>
      <c r="E58" s="43"/>
      <c r="F58" s="4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42"/>
      <c r="B59" s="42"/>
      <c r="C59" s="43"/>
      <c r="D59" s="43"/>
      <c r="E59" s="43"/>
      <c r="F59" s="4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42"/>
      <c r="B60" s="42"/>
      <c r="C60" s="43"/>
      <c r="D60" s="43"/>
      <c r="E60" s="43"/>
      <c r="F60" s="4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42"/>
      <c r="B61" s="42"/>
      <c r="C61" s="43"/>
      <c r="D61" s="43"/>
      <c r="E61" s="43"/>
      <c r="F61" s="4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42"/>
      <c r="B62" s="42"/>
      <c r="C62" s="43"/>
      <c r="D62" s="43"/>
      <c r="E62" s="43"/>
      <c r="F62" s="4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42"/>
      <c r="B63" s="42"/>
      <c r="C63" s="43"/>
      <c r="D63" s="43"/>
      <c r="E63" s="43"/>
      <c r="F63" s="4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42"/>
      <c r="B64" s="42"/>
      <c r="C64" s="43"/>
      <c r="D64" s="43"/>
      <c r="E64" s="43"/>
      <c r="F64" s="4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42"/>
      <c r="B65" s="42"/>
      <c r="C65" s="43"/>
      <c r="D65" s="43"/>
      <c r="E65" s="43"/>
      <c r="F65" s="4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42"/>
      <c r="B66" s="42"/>
      <c r="C66" s="43"/>
      <c r="D66" s="43"/>
      <c r="E66" s="43"/>
      <c r="F66" s="4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42"/>
      <c r="B67" s="42"/>
      <c r="C67" s="43"/>
      <c r="D67" s="43"/>
      <c r="E67" s="43"/>
      <c r="F67" s="4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42"/>
      <c r="B68" s="42"/>
      <c r="C68" s="43"/>
      <c r="D68" s="43"/>
      <c r="E68" s="43"/>
      <c r="F68" s="4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42"/>
      <c r="B69" s="42"/>
      <c r="C69" s="43"/>
      <c r="D69" s="43"/>
      <c r="E69" s="43"/>
      <c r="F69" s="4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42"/>
      <c r="B70" s="42"/>
      <c r="C70" s="43"/>
      <c r="D70" s="43"/>
      <c r="E70" s="43"/>
      <c r="F70" s="4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42"/>
      <c r="B71" s="42"/>
      <c r="C71" s="43"/>
      <c r="D71" s="43"/>
      <c r="E71" s="43"/>
      <c r="F71" s="4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42"/>
      <c r="B72" s="42"/>
      <c r="C72" s="43"/>
      <c r="D72" s="43"/>
      <c r="E72" s="43"/>
      <c r="F72" s="4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42"/>
      <c r="B73" s="42"/>
      <c r="C73" s="43"/>
      <c r="D73" s="43"/>
      <c r="E73" s="43"/>
      <c r="F73" s="4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42"/>
      <c r="B74" s="42"/>
      <c r="C74" s="43"/>
      <c r="D74" s="43"/>
      <c r="E74" s="43"/>
      <c r="F74" s="4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42"/>
      <c r="B75" s="42"/>
      <c r="C75" s="43"/>
      <c r="D75" s="43"/>
      <c r="E75" s="43"/>
      <c r="F75" s="4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42"/>
      <c r="B76" s="42"/>
      <c r="C76" s="43"/>
      <c r="D76" s="43"/>
      <c r="E76" s="43"/>
      <c r="F76" s="4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42"/>
      <c r="B77" s="42"/>
      <c r="C77" s="43"/>
      <c r="D77" s="43"/>
      <c r="E77" s="43"/>
      <c r="F77" s="4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42"/>
      <c r="B78" s="42"/>
      <c r="C78" s="43"/>
      <c r="D78" s="43"/>
      <c r="E78" s="43"/>
      <c r="F78" s="4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42"/>
      <c r="B79" s="42"/>
      <c r="C79" s="43"/>
      <c r="D79" s="43"/>
      <c r="E79" s="43"/>
      <c r="F79" s="4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42"/>
      <c r="B80" s="42"/>
      <c r="C80" s="43"/>
      <c r="D80" s="43"/>
      <c r="E80" s="43"/>
      <c r="F80" s="4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42"/>
      <c r="B81" s="42"/>
      <c r="C81" s="43"/>
      <c r="D81" s="43"/>
      <c r="E81" s="43"/>
      <c r="F81" s="4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42"/>
      <c r="B82" s="42"/>
      <c r="C82" s="43"/>
      <c r="D82" s="43"/>
      <c r="E82" s="43"/>
      <c r="F82" s="4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42"/>
      <c r="B83" s="42"/>
      <c r="C83" s="43"/>
      <c r="D83" s="43"/>
      <c r="E83" s="43"/>
      <c r="F83" s="4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42"/>
      <c r="B84" s="42"/>
      <c r="C84" s="43"/>
      <c r="D84" s="43"/>
      <c r="E84" s="43"/>
      <c r="F84" s="4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42"/>
      <c r="B85" s="42"/>
      <c r="C85" s="43"/>
      <c r="D85" s="43"/>
      <c r="E85" s="43"/>
      <c r="F85" s="4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42"/>
      <c r="B86" s="42"/>
      <c r="C86" s="43"/>
      <c r="D86" s="43"/>
      <c r="E86" s="43"/>
      <c r="F86" s="4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42"/>
      <c r="B87" s="42"/>
      <c r="C87" s="43"/>
      <c r="D87" s="43"/>
      <c r="E87" s="43"/>
      <c r="F87" s="4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42"/>
      <c r="B88" s="42"/>
      <c r="C88" s="43"/>
      <c r="D88" s="43"/>
      <c r="E88" s="43"/>
      <c r="F88" s="4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42"/>
      <c r="B89" s="42"/>
      <c r="C89" s="43"/>
      <c r="D89" s="43"/>
      <c r="E89" s="43"/>
      <c r="F89" s="4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42"/>
      <c r="B90" s="42"/>
      <c r="C90" s="43"/>
      <c r="D90" s="43"/>
      <c r="E90" s="43"/>
      <c r="F90" s="4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42"/>
      <c r="B91" s="42"/>
      <c r="C91" s="43"/>
      <c r="D91" s="43"/>
      <c r="E91" s="43"/>
      <c r="F91" s="4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42"/>
      <c r="B92" s="42"/>
      <c r="C92" s="43"/>
      <c r="D92" s="43"/>
      <c r="E92" s="43"/>
      <c r="F92" s="4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42"/>
      <c r="B93" s="42"/>
      <c r="C93" s="43"/>
      <c r="D93" s="43"/>
      <c r="E93" s="43"/>
      <c r="F93" s="4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42"/>
      <c r="B94" s="42"/>
      <c r="C94" s="43"/>
      <c r="D94" s="43"/>
      <c r="E94" s="43"/>
      <c r="F94" s="4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42"/>
      <c r="B95" s="42"/>
      <c r="C95" s="43"/>
      <c r="D95" s="43"/>
      <c r="E95" s="43"/>
      <c r="F95" s="4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42"/>
      <c r="B96" s="42"/>
      <c r="C96" s="43"/>
      <c r="D96" s="43"/>
      <c r="E96" s="43"/>
      <c r="F96" s="4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42"/>
      <c r="B97" s="42"/>
      <c r="C97" s="43"/>
      <c r="D97" s="43"/>
      <c r="E97" s="43"/>
      <c r="F97" s="4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42"/>
      <c r="B98" s="42"/>
      <c r="C98" s="43"/>
      <c r="D98" s="43"/>
      <c r="E98" s="43"/>
      <c r="F98" s="4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42"/>
      <c r="B99" s="42"/>
      <c r="C99" s="43"/>
      <c r="D99" s="43"/>
      <c r="E99" s="43"/>
      <c r="F99" s="4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42"/>
      <c r="B100" s="42"/>
      <c r="C100" s="43"/>
      <c r="D100" s="43"/>
      <c r="E100" s="43"/>
      <c r="F100" s="4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42"/>
      <c r="B101" s="42"/>
      <c r="C101" s="43"/>
      <c r="D101" s="43"/>
      <c r="E101" s="43"/>
      <c r="F101" s="4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42"/>
      <c r="B102" s="42"/>
      <c r="C102" s="43"/>
      <c r="D102" s="43"/>
      <c r="E102" s="43"/>
      <c r="F102" s="4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42"/>
      <c r="B103" s="42"/>
      <c r="C103" s="43"/>
      <c r="D103" s="43"/>
      <c r="E103" s="43"/>
      <c r="F103" s="4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42"/>
      <c r="B104" s="42"/>
      <c r="C104" s="43"/>
      <c r="D104" s="43"/>
      <c r="E104" s="43"/>
      <c r="F104" s="4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42"/>
      <c r="B105" s="42"/>
      <c r="C105" s="43"/>
      <c r="D105" s="43"/>
      <c r="E105" s="43"/>
      <c r="F105" s="4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42"/>
      <c r="B106" s="42"/>
      <c r="C106" s="43"/>
      <c r="D106" s="43"/>
      <c r="E106" s="43"/>
      <c r="F106" s="4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42"/>
      <c r="B107" s="42"/>
      <c r="C107" s="43"/>
      <c r="D107" s="43"/>
      <c r="E107" s="43"/>
      <c r="F107" s="4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42"/>
      <c r="B108" s="42"/>
      <c r="C108" s="43"/>
      <c r="D108" s="43"/>
      <c r="E108" s="43"/>
      <c r="F108" s="4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42"/>
      <c r="B109" s="42"/>
      <c r="C109" s="43"/>
      <c r="D109" s="43"/>
      <c r="E109" s="43"/>
      <c r="F109" s="4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42"/>
      <c r="B110" s="42"/>
      <c r="C110" s="43"/>
      <c r="D110" s="43"/>
      <c r="E110" s="43"/>
      <c r="F110" s="4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42"/>
      <c r="B111" s="42"/>
      <c r="C111" s="43"/>
      <c r="D111" s="43"/>
      <c r="E111" s="43"/>
      <c r="F111" s="4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42"/>
      <c r="B112" s="42"/>
      <c r="C112" s="43"/>
      <c r="D112" s="43"/>
      <c r="E112" s="43"/>
      <c r="F112" s="4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42"/>
      <c r="B113" s="42"/>
      <c r="C113" s="43"/>
      <c r="D113" s="43"/>
      <c r="E113" s="43"/>
      <c r="F113" s="4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42"/>
      <c r="B114" s="42"/>
      <c r="C114" s="43"/>
      <c r="D114" s="43"/>
      <c r="E114" s="43"/>
      <c r="F114" s="4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42"/>
      <c r="B115" s="42"/>
      <c r="C115" s="43"/>
      <c r="D115" s="43"/>
      <c r="E115" s="43"/>
      <c r="F115" s="4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42"/>
      <c r="B116" s="42"/>
      <c r="C116" s="43"/>
      <c r="D116" s="43"/>
      <c r="E116" s="43"/>
      <c r="F116" s="4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42"/>
      <c r="B117" s="42"/>
      <c r="C117" s="43"/>
      <c r="D117" s="43"/>
      <c r="E117" s="43"/>
      <c r="F117" s="4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42"/>
      <c r="B118" s="42"/>
      <c r="C118" s="43"/>
      <c r="D118" s="43"/>
      <c r="E118" s="43"/>
      <c r="F118" s="4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42"/>
      <c r="B119" s="42"/>
      <c r="C119" s="43"/>
      <c r="D119" s="43"/>
      <c r="E119" s="43"/>
      <c r="F119" s="4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42"/>
      <c r="B120" s="42"/>
      <c r="C120" s="43"/>
      <c r="D120" s="43"/>
      <c r="E120" s="43"/>
      <c r="F120" s="4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42"/>
      <c r="B121" s="42"/>
      <c r="C121" s="43"/>
      <c r="D121" s="43"/>
      <c r="E121" s="43"/>
      <c r="F121" s="4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42"/>
      <c r="B122" s="42"/>
      <c r="C122" s="43"/>
      <c r="D122" s="43"/>
      <c r="E122" s="43"/>
      <c r="F122" s="4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42"/>
      <c r="B123" s="42"/>
      <c r="C123" s="43"/>
      <c r="D123" s="43"/>
      <c r="E123" s="43"/>
      <c r="F123" s="4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42"/>
      <c r="B124" s="42"/>
      <c r="C124" s="43"/>
      <c r="D124" s="43"/>
      <c r="E124" s="43"/>
      <c r="F124" s="4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42"/>
      <c r="B125" s="42"/>
      <c r="C125" s="43"/>
      <c r="D125" s="43"/>
      <c r="E125" s="43"/>
      <c r="F125" s="4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42"/>
      <c r="B126" s="42"/>
      <c r="C126" s="43"/>
      <c r="D126" s="43"/>
      <c r="E126" s="43"/>
      <c r="F126" s="4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42"/>
      <c r="B127" s="42"/>
      <c r="C127" s="43"/>
      <c r="D127" s="43"/>
      <c r="E127" s="43"/>
      <c r="F127" s="4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42"/>
      <c r="B128" s="42"/>
      <c r="C128" s="43"/>
      <c r="D128" s="43"/>
      <c r="E128" s="43"/>
      <c r="F128" s="4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42"/>
      <c r="B129" s="42"/>
      <c r="C129" s="43"/>
      <c r="D129" s="43"/>
      <c r="E129" s="43"/>
      <c r="F129" s="4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42"/>
      <c r="B130" s="42"/>
      <c r="C130" s="43"/>
      <c r="D130" s="43"/>
      <c r="E130" s="43"/>
      <c r="F130" s="4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42"/>
      <c r="B131" s="42"/>
      <c r="C131" s="43"/>
      <c r="D131" s="43"/>
      <c r="E131" s="43"/>
      <c r="F131" s="4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42"/>
      <c r="B132" s="42"/>
      <c r="C132" s="43"/>
      <c r="D132" s="43"/>
      <c r="E132" s="43"/>
      <c r="F132" s="4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42"/>
      <c r="B133" s="42"/>
      <c r="C133" s="43"/>
      <c r="D133" s="43"/>
      <c r="E133" s="43"/>
      <c r="F133" s="4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42"/>
      <c r="B134" s="42"/>
      <c r="C134" s="43"/>
      <c r="D134" s="43"/>
      <c r="E134" s="43"/>
      <c r="F134" s="4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42"/>
      <c r="B135" s="42"/>
      <c r="C135" s="43"/>
      <c r="D135" s="43"/>
      <c r="E135" s="43"/>
      <c r="F135" s="4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42"/>
      <c r="B136" s="42"/>
      <c r="C136" s="43"/>
      <c r="D136" s="43"/>
      <c r="E136" s="43"/>
      <c r="F136" s="4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42"/>
      <c r="B137" s="42"/>
      <c r="C137" s="43"/>
      <c r="D137" s="43"/>
      <c r="E137" s="43"/>
      <c r="F137" s="4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42"/>
      <c r="B138" s="42"/>
      <c r="C138" s="43"/>
      <c r="D138" s="43"/>
      <c r="E138" s="43"/>
      <c r="F138" s="4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42"/>
      <c r="B139" s="42"/>
      <c r="C139" s="43"/>
      <c r="D139" s="43"/>
      <c r="E139" s="43"/>
      <c r="F139" s="4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42"/>
      <c r="B140" s="42"/>
      <c r="C140" s="43"/>
      <c r="D140" s="43"/>
      <c r="E140" s="43"/>
      <c r="F140" s="4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42"/>
      <c r="B141" s="42"/>
      <c r="C141" s="43"/>
      <c r="D141" s="43"/>
      <c r="E141" s="43"/>
      <c r="F141" s="4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42"/>
      <c r="B142" s="42"/>
      <c r="C142" s="43"/>
      <c r="D142" s="43"/>
      <c r="E142" s="43"/>
      <c r="F142" s="4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42"/>
      <c r="B143" s="42"/>
      <c r="C143" s="43"/>
      <c r="D143" s="43"/>
      <c r="E143" s="43"/>
      <c r="F143" s="4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42"/>
      <c r="B144" s="42"/>
      <c r="C144" s="43"/>
      <c r="D144" s="43"/>
      <c r="E144" s="43"/>
      <c r="F144" s="4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42"/>
      <c r="B145" s="42"/>
      <c r="C145" s="43"/>
      <c r="D145" s="43"/>
      <c r="E145" s="43"/>
      <c r="F145" s="4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42"/>
      <c r="B146" s="42"/>
      <c r="C146" s="43"/>
      <c r="D146" s="43"/>
      <c r="E146" s="43"/>
      <c r="F146" s="4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42"/>
      <c r="B147" s="42"/>
      <c r="C147" s="43"/>
      <c r="D147" s="43"/>
      <c r="E147" s="43"/>
      <c r="F147" s="4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42"/>
      <c r="B148" s="42"/>
      <c r="C148" s="43"/>
      <c r="D148" s="43"/>
      <c r="E148" s="43"/>
      <c r="F148" s="4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42"/>
      <c r="B149" s="42"/>
      <c r="C149" s="43"/>
      <c r="D149" s="43"/>
      <c r="E149" s="43"/>
      <c r="F149" s="4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42"/>
      <c r="B150" s="42"/>
      <c r="C150" s="43"/>
      <c r="D150" s="43"/>
      <c r="E150" s="43"/>
      <c r="F150" s="4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42"/>
      <c r="B151" s="42"/>
      <c r="C151" s="43"/>
      <c r="D151" s="43"/>
      <c r="E151" s="43"/>
      <c r="F151" s="4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42"/>
      <c r="B152" s="42"/>
      <c r="C152" s="43"/>
      <c r="D152" s="43"/>
      <c r="E152" s="43"/>
      <c r="F152" s="4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42"/>
      <c r="B153" s="42"/>
      <c r="C153" s="43"/>
      <c r="D153" s="43"/>
      <c r="E153" s="43"/>
      <c r="F153" s="4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42"/>
      <c r="B154" s="42"/>
      <c r="C154" s="43"/>
      <c r="D154" s="43"/>
      <c r="E154" s="43"/>
      <c r="F154" s="4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42"/>
      <c r="B155" s="42"/>
      <c r="C155" s="43"/>
      <c r="D155" s="43"/>
      <c r="E155" s="43"/>
      <c r="F155" s="4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42"/>
      <c r="B156" s="42"/>
      <c r="C156" s="43"/>
      <c r="D156" s="43"/>
      <c r="E156" s="43"/>
      <c r="F156" s="4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42"/>
      <c r="B157" s="42"/>
      <c r="C157" s="43"/>
      <c r="D157" s="43"/>
      <c r="E157" s="43"/>
      <c r="F157" s="4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42"/>
      <c r="B158" s="42"/>
      <c r="C158" s="43"/>
      <c r="D158" s="43"/>
      <c r="E158" s="43"/>
      <c r="F158" s="4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42"/>
      <c r="B159" s="42"/>
      <c r="C159" s="43"/>
      <c r="D159" s="43"/>
      <c r="E159" s="43"/>
      <c r="F159" s="4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42"/>
      <c r="B160" s="42"/>
      <c r="C160" s="43"/>
      <c r="D160" s="43"/>
      <c r="E160" s="43"/>
      <c r="F160" s="4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42"/>
      <c r="B161" s="42"/>
      <c r="C161" s="43"/>
      <c r="D161" s="43"/>
      <c r="E161" s="43"/>
      <c r="F161" s="4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42"/>
      <c r="B162" s="42"/>
      <c r="C162" s="43"/>
      <c r="D162" s="43"/>
      <c r="E162" s="43"/>
      <c r="F162" s="4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42"/>
      <c r="B163" s="42"/>
      <c r="C163" s="43"/>
      <c r="D163" s="43"/>
      <c r="E163" s="43"/>
      <c r="F163" s="4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42"/>
      <c r="B164" s="42"/>
      <c r="C164" s="43"/>
      <c r="D164" s="43"/>
      <c r="E164" s="43"/>
      <c r="F164" s="4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42"/>
      <c r="B165" s="42"/>
      <c r="C165" s="43"/>
      <c r="D165" s="43"/>
      <c r="E165" s="43"/>
      <c r="F165" s="4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42"/>
      <c r="B166" s="42"/>
      <c r="C166" s="43"/>
      <c r="D166" s="43"/>
      <c r="E166" s="43"/>
      <c r="F166" s="4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42"/>
      <c r="B167" s="42"/>
      <c r="C167" s="43"/>
      <c r="D167" s="43"/>
      <c r="E167" s="43"/>
      <c r="F167" s="4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42"/>
      <c r="B168" s="42"/>
      <c r="C168" s="43"/>
      <c r="D168" s="43"/>
      <c r="E168" s="43"/>
      <c r="F168" s="4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42"/>
      <c r="B169" s="42"/>
      <c r="C169" s="43"/>
      <c r="D169" s="43"/>
      <c r="E169" s="43"/>
      <c r="F169" s="4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42"/>
      <c r="B170" s="42"/>
      <c r="C170" s="43"/>
      <c r="D170" s="43"/>
      <c r="E170" s="43"/>
      <c r="F170" s="4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42"/>
      <c r="B171" s="42"/>
      <c r="C171" s="43"/>
      <c r="D171" s="43"/>
      <c r="E171" s="43"/>
      <c r="F171" s="4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42"/>
      <c r="B172" s="42"/>
      <c r="C172" s="43"/>
      <c r="D172" s="43"/>
      <c r="E172" s="43"/>
      <c r="F172" s="4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42"/>
      <c r="B173" s="42"/>
      <c r="C173" s="43"/>
      <c r="D173" s="43"/>
      <c r="E173" s="43"/>
      <c r="F173" s="4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42"/>
      <c r="B174" s="42"/>
      <c r="C174" s="43"/>
      <c r="D174" s="43"/>
      <c r="E174" s="43"/>
      <c r="F174" s="4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42"/>
      <c r="B175" s="42"/>
      <c r="C175" s="43"/>
      <c r="D175" s="43"/>
      <c r="E175" s="43"/>
      <c r="F175" s="4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42"/>
      <c r="B176" s="42"/>
      <c r="C176" s="43"/>
      <c r="D176" s="43"/>
      <c r="E176" s="43"/>
      <c r="F176" s="4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42"/>
      <c r="B177" s="42"/>
      <c r="C177" s="43"/>
      <c r="D177" s="43"/>
      <c r="E177" s="43"/>
      <c r="F177" s="4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42"/>
      <c r="B178" s="42"/>
      <c r="C178" s="43"/>
      <c r="D178" s="43"/>
      <c r="E178" s="43"/>
      <c r="F178" s="4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42"/>
      <c r="B179" s="42"/>
      <c r="C179" s="43"/>
      <c r="D179" s="43"/>
      <c r="E179" s="43"/>
      <c r="F179" s="4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42"/>
      <c r="B180" s="42"/>
      <c r="C180" s="43"/>
      <c r="D180" s="43"/>
      <c r="E180" s="43"/>
      <c r="F180" s="4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42"/>
      <c r="B181" s="42"/>
      <c r="C181" s="43"/>
      <c r="D181" s="43"/>
      <c r="E181" s="43"/>
      <c r="F181" s="4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42"/>
      <c r="B182" s="42"/>
      <c r="C182" s="43"/>
      <c r="D182" s="43"/>
      <c r="E182" s="43"/>
      <c r="F182" s="4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42"/>
      <c r="B183" s="42"/>
      <c r="C183" s="43"/>
      <c r="D183" s="43"/>
      <c r="E183" s="43"/>
      <c r="F183" s="4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42"/>
      <c r="B184" s="42"/>
      <c r="C184" s="43"/>
      <c r="D184" s="43"/>
      <c r="E184" s="43"/>
      <c r="F184" s="4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42"/>
      <c r="B185" s="42"/>
      <c r="C185" s="43"/>
      <c r="D185" s="43"/>
      <c r="E185" s="43"/>
      <c r="F185" s="4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42"/>
      <c r="B186" s="42"/>
      <c r="C186" s="43"/>
      <c r="D186" s="43"/>
      <c r="E186" s="43"/>
      <c r="F186" s="4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42"/>
      <c r="B187" s="42"/>
      <c r="C187" s="43"/>
      <c r="D187" s="43"/>
      <c r="E187" s="43"/>
      <c r="F187" s="4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42"/>
      <c r="B188" s="42"/>
      <c r="C188" s="43"/>
      <c r="D188" s="43"/>
      <c r="E188" s="43"/>
      <c r="F188" s="4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42"/>
      <c r="B189" s="42"/>
      <c r="C189" s="43"/>
      <c r="D189" s="43"/>
      <c r="E189" s="43"/>
      <c r="F189" s="4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42"/>
      <c r="B190" s="42"/>
      <c r="C190" s="43"/>
      <c r="D190" s="43"/>
      <c r="E190" s="43"/>
      <c r="F190" s="4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42"/>
      <c r="B191" s="42"/>
      <c r="C191" s="43"/>
      <c r="D191" s="43"/>
      <c r="E191" s="43"/>
      <c r="F191" s="4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42"/>
      <c r="B192" s="42"/>
      <c r="C192" s="43"/>
      <c r="D192" s="43"/>
      <c r="E192" s="43"/>
      <c r="F192" s="4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42"/>
      <c r="B193" s="42"/>
      <c r="C193" s="43"/>
      <c r="D193" s="43"/>
      <c r="E193" s="43"/>
      <c r="F193" s="4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42"/>
      <c r="B194" s="42"/>
      <c r="C194" s="43"/>
      <c r="D194" s="43"/>
      <c r="E194" s="43"/>
      <c r="F194" s="4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42"/>
      <c r="B195" s="42"/>
      <c r="C195" s="43"/>
      <c r="D195" s="43"/>
      <c r="E195" s="43"/>
      <c r="F195" s="4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42"/>
      <c r="B196" s="42"/>
      <c r="C196" s="43"/>
      <c r="D196" s="43"/>
      <c r="E196" s="43"/>
      <c r="F196" s="4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42"/>
      <c r="B197" s="42"/>
      <c r="C197" s="43"/>
      <c r="D197" s="43"/>
      <c r="E197" s="43"/>
      <c r="F197" s="4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42"/>
      <c r="B198" s="42"/>
      <c r="C198" s="43"/>
      <c r="D198" s="43"/>
      <c r="E198" s="43"/>
      <c r="F198" s="4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42"/>
      <c r="B199" s="42"/>
      <c r="C199" s="43"/>
      <c r="D199" s="43"/>
      <c r="E199" s="43"/>
      <c r="F199" s="4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42"/>
      <c r="B200" s="42"/>
      <c r="C200" s="43"/>
      <c r="D200" s="43"/>
      <c r="E200" s="43"/>
      <c r="F200" s="4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42"/>
      <c r="B201" s="42"/>
      <c r="C201" s="43"/>
      <c r="D201" s="43"/>
      <c r="E201" s="43"/>
      <c r="F201" s="4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42"/>
      <c r="B202" s="42"/>
      <c r="C202" s="43"/>
      <c r="D202" s="43"/>
      <c r="E202" s="43"/>
      <c r="F202" s="4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42"/>
      <c r="B203" s="42"/>
      <c r="C203" s="43"/>
      <c r="D203" s="43"/>
      <c r="E203" s="43"/>
      <c r="F203" s="4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42"/>
      <c r="B204" s="42"/>
      <c r="C204" s="43"/>
      <c r="D204" s="43"/>
      <c r="E204" s="43"/>
      <c r="F204" s="4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42"/>
      <c r="B205" s="42"/>
      <c r="C205" s="43"/>
      <c r="D205" s="43"/>
      <c r="E205" s="43"/>
      <c r="F205" s="4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42"/>
      <c r="B206" s="42"/>
      <c r="C206" s="43"/>
      <c r="D206" s="43"/>
      <c r="E206" s="43"/>
      <c r="F206" s="4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42"/>
      <c r="B207" s="42"/>
      <c r="C207" s="43"/>
      <c r="D207" s="43"/>
      <c r="E207" s="43"/>
      <c r="F207" s="4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42"/>
      <c r="B208" s="42"/>
      <c r="C208" s="43"/>
      <c r="D208" s="43"/>
      <c r="E208" s="43"/>
      <c r="F208" s="4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42"/>
      <c r="B209" s="42"/>
      <c r="C209" s="43"/>
      <c r="D209" s="43"/>
      <c r="E209" s="43"/>
      <c r="F209" s="4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42"/>
      <c r="B210" s="42"/>
      <c r="C210" s="43"/>
      <c r="D210" s="43"/>
      <c r="E210" s="43"/>
      <c r="F210" s="4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42"/>
      <c r="B211" s="42"/>
      <c r="C211" s="43"/>
      <c r="D211" s="43"/>
      <c r="E211" s="43"/>
      <c r="F211" s="4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42"/>
      <c r="B212" s="42"/>
      <c r="C212" s="43"/>
      <c r="D212" s="43"/>
      <c r="E212" s="43"/>
      <c r="F212" s="4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42"/>
      <c r="B213" s="42"/>
      <c r="C213" s="43"/>
      <c r="D213" s="43"/>
      <c r="E213" s="43"/>
      <c r="F213" s="4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42"/>
      <c r="B214" s="42"/>
      <c r="C214" s="43"/>
      <c r="D214" s="43"/>
      <c r="E214" s="43"/>
      <c r="F214" s="4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42"/>
      <c r="B215" s="42"/>
      <c r="C215" s="43"/>
      <c r="D215" s="43"/>
      <c r="E215" s="43"/>
      <c r="F215" s="4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42"/>
      <c r="B216" s="42"/>
      <c r="C216" s="43"/>
      <c r="D216" s="43"/>
      <c r="E216" s="43"/>
      <c r="F216" s="4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42"/>
      <c r="B217" s="42"/>
      <c r="C217" s="43"/>
      <c r="D217" s="43"/>
      <c r="E217" s="43"/>
      <c r="F217" s="4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42"/>
      <c r="B218" s="42"/>
      <c r="C218" s="43"/>
      <c r="D218" s="43"/>
      <c r="E218" s="43"/>
      <c r="F218" s="4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42"/>
      <c r="B219" s="42"/>
      <c r="C219" s="43"/>
      <c r="D219" s="43"/>
      <c r="E219" s="43"/>
      <c r="F219" s="4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42"/>
      <c r="B220" s="42"/>
      <c r="C220" s="43"/>
      <c r="D220" s="43"/>
      <c r="E220" s="43"/>
      <c r="F220" s="4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42"/>
      <c r="B221" s="42"/>
      <c r="C221" s="43"/>
      <c r="D221" s="43"/>
      <c r="E221" s="43"/>
      <c r="F221" s="4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42"/>
      <c r="B222" s="42"/>
      <c r="C222" s="43"/>
      <c r="D222" s="43"/>
      <c r="E222" s="43"/>
      <c r="F222" s="4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42"/>
      <c r="B223" s="42"/>
      <c r="C223" s="43"/>
      <c r="D223" s="43"/>
      <c r="E223" s="43"/>
      <c r="F223" s="4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42"/>
      <c r="B224" s="42"/>
      <c r="C224" s="43"/>
      <c r="D224" s="43"/>
      <c r="E224" s="43"/>
      <c r="F224" s="4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42"/>
      <c r="B225" s="42"/>
      <c r="C225" s="43"/>
      <c r="D225" s="43"/>
      <c r="E225" s="43"/>
      <c r="F225" s="4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42"/>
      <c r="B226" s="42"/>
      <c r="C226" s="43"/>
      <c r="D226" s="43"/>
      <c r="E226" s="43"/>
      <c r="F226" s="4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42"/>
      <c r="B227" s="42"/>
      <c r="C227" s="43"/>
      <c r="D227" s="43"/>
      <c r="E227" s="43"/>
      <c r="F227" s="4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42"/>
      <c r="B228" s="42"/>
      <c r="C228" s="43"/>
      <c r="D228" s="43"/>
      <c r="E228" s="43"/>
      <c r="F228" s="4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42"/>
      <c r="B229" s="42"/>
      <c r="C229" s="43"/>
      <c r="D229" s="43"/>
      <c r="E229" s="43"/>
      <c r="F229" s="4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42"/>
      <c r="B230" s="42"/>
      <c r="C230" s="43"/>
      <c r="D230" s="43"/>
      <c r="E230" s="43"/>
      <c r="F230" s="4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42"/>
      <c r="B231" s="42"/>
      <c r="C231" s="43"/>
      <c r="D231" s="43"/>
      <c r="E231" s="43"/>
      <c r="F231" s="4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42"/>
      <c r="B232" s="42"/>
      <c r="C232" s="43"/>
      <c r="D232" s="43"/>
      <c r="E232" s="43"/>
      <c r="F232" s="4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42"/>
      <c r="B233" s="42"/>
      <c r="C233" s="43"/>
      <c r="D233" s="43"/>
      <c r="E233" s="43"/>
      <c r="F233" s="4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42"/>
      <c r="B234" s="42"/>
      <c r="C234" s="43"/>
      <c r="D234" s="43"/>
      <c r="E234" s="43"/>
      <c r="F234" s="4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42"/>
      <c r="B235" s="42"/>
      <c r="C235" s="43"/>
      <c r="D235" s="43"/>
      <c r="E235" s="43"/>
      <c r="F235" s="4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42"/>
      <c r="B236" s="42"/>
      <c r="C236" s="43"/>
      <c r="D236" s="43"/>
      <c r="E236" s="43"/>
      <c r="F236" s="4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42"/>
      <c r="B237" s="42"/>
      <c r="C237" s="43"/>
      <c r="D237" s="43"/>
      <c r="E237" s="43"/>
      <c r="F237" s="4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42"/>
      <c r="B238" s="42"/>
      <c r="C238" s="43"/>
      <c r="D238" s="43"/>
      <c r="E238" s="43"/>
      <c r="F238" s="4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42"/>
      <c r="B239" s="42"/>
      <c r="C239" s="43"/>
      <c r="D239" s="43"/>
      <c r="E239" s="43"/>
      <c r="F239" s="4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42"/>
      <c r="B240" s="42"/>
      <c r="C240" s="43"/>
      <c r="D240" s="43"/>
      <c r="E240" s="43"/>
      <c r="F240" s="4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42"/>
      <c r="B241" s="42"/>
      <c r="C241" s="43"/>
      <c r="D241" s="43"/>
      <c r="E241" s="43"/>
      <c r="F241" s="4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42"/>
      <c r="B242" s="42"/>
      <c r="C242" s="43"/>
      <c r="D242" s="43"/>
      <c r="E242" s="43"/>
      <c r="F242" s="4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42"/>
      <c r="B243" s="42"/>
      <c r="C243" s="43"/>
      <c r="D243" s="43"/>
      <c r="E243" s="43"/>
      <c r="F243" s="4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42"/>
      <c r="B244" s="42"/>
      <c r="C244" s="43"/>
      <c r="D244" s="43"/>
      <c r="E244" s="43"/>
      <c r="F244" s="4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42"/>
      <c r="B245" s="42"/>
      <c r="C245" s="43"/>
      <c r="D245" s="43"/>
      <c r="E245" s="43"/>
      <c r="F245" s="4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42"/>
      <c r="B246" s="42"/>
      <c r="C246" s="43"/>
      <c r="D246" s="43"/>
      <c r="E246" s="43"/>
      <c r="F246" s="4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42"/>
      <c r="B247" s="42"/>
      <c r="C247" s="43"/>
      <c r="D247" s="43"/>
      <c r="E247" s="43"/>
      <c r="F247" s="4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42"/>
      <c r="B248" s="42"/>
      <c r="C248" s="43"/>
      <c r="D248" s="43"/>
      <c r="E248" s="43"/>
      <c r="F248" s="4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42"/>
      <c r="B249" s="42"/>
      <c r="C249" s="43"/>
      <c r="D249" s="43"/>
      <c r="E249" s="43"/>
      <c r="F249" s="4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42"/>
      <c r="B250" s="42"/>
      <c r="C250" s="43"/>
      <c r="D250" s="43"/>
      <c r="E250" s="43"/>
      <c r="F250" s="4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42"/>
      <c r="B251" s="42"/>
      <c r="C251" s="43"/>
      <c r="D251" s="43"/>
      <c r="E251" s="43"/>
      <c r="F251" s="4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42"/>
      <c r="B252" s="42"/>
      <c r="C252" s="43"/>
      <c r="D252" s="43"/>
      <c r="E252" s="43"/>
      <c r="F252" s="4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42"/>
      <c r="B253" s="42"/>
      <c r="C253" s="43"/>
      <c r="D253" s="43"/>
      <c r="E253" s="43"/>
      <c r="F253" s="4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42"/>
      <c r="B254" s="42"/>
      <c r="C254" s="43"/>
      <c r="D254" s="43"/>
      <c r="E254" s="43"/>
      <c r="F254" s="4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42"/>
      <c r="B255" s="42"/>
      <c r="C255" s="43"/>
      <c r="D255" s="43"/>
      <c r="E255" s="43"/>
      <c r="F255" s="4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42"/>
      <c r="B256" s="42"/>
      <c r="C256" s="43"/>
      <c r="D256" s="43"/>
      <c r="E256" s="43"/>
      <c r="F256" s="4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42"/>
      <c r="B257" s="42"/>
      <c r="C257" s="43"/>
      <c r="D257" s="43"/>
      <c r="E257" s="43"/>
      <c r="F257" s="4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42"/>
      <c r="B258" s="42"/>
      <c r="C258" s="43"/>
      <c r="D258" s="43"/>
      <c r="E258" s="43"/>
      <c r="F258" s="4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42"/>
      <c r="B259" s="42"/>
      <c r="C259" s="43"/>
      <c r="D259" s="43"/>
      <c r="E259" s="43"/>
      <c r="F259" s="4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42"/>
      <c r="B260" s="42"/>
      <c r="C260" s="43"/>
      <c r="D260" s="43"/>
      <c r="E260" s="43"/>
      <c r="F260" s="4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42"/>
      <c r="B261" s="42"/>
      <c r="C261" s="43"/>
      <c r="D261" s="43"/>
      <c r="E261" s="43"/>
      <c r="F261" s="4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42"/>
      <c r="B262" s="42"/>
      <c r="C262" s="43"/>
      <c r="D262" s="43"/>
      <c r="E262" s="43"/>
      <c r="F262" s="4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42"/>
      <c r="B263" s="42"/>
      <c r="C263" s="43"/>
      <c r="D263" s="43"/>
      <c r="E263" s="43"/>
      <c r="F263" s="4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42"/>
      <c r="B264" s="42"/>
      <c r="C264" s="43"/>
      <c r="D264" s="43"/>
      <c r="E264" s="43"/>
      <c r="F264" s="4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42"/>
      <c r="B265" s="42"/>
      <c r="C265" s="43"/>
      <c r="D265" s="43"/>
      <c r="E265" s="43"/>
      <c r="F265" s="4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42"/>
      <c r="B266" s="42"/>
      <c r="C266" s="43"/>
      <c r="D266" s="43"/>
      <c r="E266" s="43"/>
      <c r="F266" s="4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42"/>
      <c r="B267" s="42"/>
      <c r="C267" s="43"/>
      <c r="D267" s="43"/>
      <c r="E267" s="43"/>
      <c r="F267" s="4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42"/>
      <c r="B268" s="42"/>
      <c r="C268" s="43"/>
      <c r="D268" s="43"/>
      <c r="E268" s="43"/>
      <c r="F268" s="4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42"/>
      <c r="B269" s="42"/>
      <c r="C269" s="43"/>
      <c r="D269" s="43"/>
      <c r="E269" s="43"/>
      <c r="F269" s="4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42"/>
      <c r="B270" s="42"/>
      <c r="C270" s="43"/>
      <c r="D270" s="43"/>
      <c r="E270" s="43"/>
      <c r="F270" s="4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42"/>
      <c r="B271" s="42"/>
      <c r="C271" s="43"/>
      <c r="D271" s="43"/>
      <c r="E271" s="43"/>
      <c r="F271" s="4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42"/>
      <c r="B272" s="42"/>
      <c r="C272" s="43"/>
      <c r="D272" s="43"/>
      <c r="E272" s="43"/>
      <c r="F272" s="4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42"/>
      <c r="B273" s="42"/>
      <c r="C273" s="43"/>
      <c r="D273" s="43"/>
      <c r="E273" s="43"/>
      <c r="F273" s="4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42"/>
      <c r="B274" s="42"/>
      <c r="C274" s="43"/>
      <c r="D274" s="43"/>
      <c r="E274" s="43"/>
      <c r="F274" s="4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42"/>
      <c r="B275" s="42"/>
      <c r="C275" s="43"/>
      <c r="D275" s="43"/>
      <c r="E275" s="43"/>
      <c r="F275" s="4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42"/>
      <c r="B276" s="42"/>
      <c r="C276" s="43"/>
      <c r="D276" s="43"/>
      <c r="E276" s="43"/>
      <c r="F276" s="4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42"/>
      <c r="B277" s="42"/>
      <c r="C277" s="43"/>
      <c r="D277" s="43"/>
      <c r="E277" s="43"/>
      <c r="F277" s="4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42"/>
      <c r="B278" s="42"/>
      <c r="C278" s="43"/>
      <c r="D278" s="43"/>
      <c r="E278" s="43"/>
      <c r="F278" s="4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42"/>
      <c r="B279" s="42"/>
      <c r="C279" s="43"/>
      <c r="D279" s="43"/>
      <c r="E279" s="43"/>
      <c r="F279" s="4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42"/>
      <c r="B280" s="42"/>
      <c r="C280" s="43"/>
      <c r="D280" s="43"/>
      <c r="E280" s="43"/>
      <c r="F280" s="4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42"/>
      <c r="B281" s="42"/>
      <c r="C281" s="43"/>
      <c r="D281" s="43"/>
      <c r="E281" s="43"/>
      <c r="F281" s="4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42"/>
      <c r="B282" s="42"/>
      <c r="C282" s="43"/>
      <c r="D282" s="43"/>
      <c r="E282" s="43"/>
      <c r="F282" s="4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42"/>
      <c r="B283" s="42"/>
      <c r="C283" s="43"/>
      <c r="D283" s="43"/>
      <c r="E283" s="43"/>
      <c r="F283" s="4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42"/>
      <c r="B284" s="42"/>
      <c r="C284" s="43"/>
      <c r="D284" s="43"/>
      <c r="E284" s="43"/>
      <c r="F284" s="4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42"/>
      <c r="B285" s="42"/>
      <c r="C285" s="43"/>
      <c r="D285" s="43"/>
      <c r="E285" s="43"/>
      <c r="F285" s="4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42"/>
      <c r="B286" s="42"/>
      <c r="C286" s="43"/>
      <c r="D286" s="43"/>
      <c r="E286" s="43"/>
      <c r="F286" s="4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42"/>
      <c r="B287" s="42"/>
      <c r="C287" s="43"/>
      <c r="D287" s="43"/>
      <c r="E287" s="43"/>
      <c r="F287" s="4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42"/>
      <c r="B288" s="42"/>
      <c r="C288" s="43"/>
      <c r="D288" s="43"/>
      <c r="E288" s="43"/>
      <c r="F288" s="4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42"/>
      <c r="B289" s="42"/>
      <c r="C289" s="43"/>
      <c r="D289" s="43"/>
      <c r="E289" s="43"/>
      <c r="F289" s="4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42"/>
      <c r="B290" s="42"/>
      <c r="C290" s="43"/>
      <c r="D290" s="43"/>
      <c r="E290" s="43"/>
      <c r="F290" s="4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42"/>
      <c r="B291" s="42"/>
      <c r="C291" s="43"/>
      <c r="D291" s="43"/>
      <c r="E291" s="43"/>
      <c r="F291" s="4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42"/>
      <c r="B292" s="42"/>
      <c r="C292" s="43"/>
      <c r="D292" s="43"/>
      <c r="E292" s="43"/>
      <c r="F292" s="4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42"/>
      <c r="B293" s="42"/>
      <c r="C293" s="43"/>
      <c r="D293" s="43"/>
      <c r="E293" s="43"/>
      <c r="F293" s="4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42"/>
      <c r="B294" s="42"/>
      <c r="C294" s="43"/>
      <c r="D294" s="43"/>
      <c r="E294" s="43"/>
      <c r="F294" s="4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42"/>
      <c r="B295" s="42"/>
      <c r="C295" s="43"/>
      <c r="D295" s="43"/>
      <c r="E295" s="43"/>
      <c r="F295" s="4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42"/>
      <c r="B296" s="42"/>
      <c r="C296" s="43"/>
      <c r="D296" s="43"/>
      <c r="E296" s="43"/>
      <c r="F296" s="4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42"/>
      <c r="B297" s="42"/>
      <c r="C297" s="43"/>
      <c r="D297" s="43"/>
      <c r="E297" s="43"/>
      <c r="F297" s="4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42"/>
      <c r="B298" s="42"/>
      <c r="C298" s="43"/>
      <c r="D298" s="43"/>
      <c r="E298" s="43"/>
      <c r="F298" s="4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42"/>
      <c r="B299" s="42"/>
      <c r="C299" s="43"/>
      <c r="D299" s="43"/>
      <c r="E299" s="43"/>
      <c r="F299" s="4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42"/>
      <c r="B300" s="42"/>
      <c r="C300" s="43"/>
      <c r="D300" s="43"/>
      <c r="E300" s="43"/>
      <c r="F300" s="4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42"/>
      <c r="B301" s="42"/>
      <c r="C301" s="43"/>
      <c r="D301" s="43"/>
      <c r="E301" s="43"/>
      <c r="F301" s="4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42"/>
      <c r="B302" s="42"/>
      <c r="C302" s="43"/>
      <c r="D302" s="43"/>
      <c r="E302" s="43"/>
      <c r="F302" s="4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42"/>
      <c r="B303" s="42"/>
      <c r="C303" s="43"/>
      <c r="D303" s="43"/>
      <c r="E303" s="43"/>
      <c r="F303" s="4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42"/>
      <c r="B304" s="42"/>
      <c r="C304" s="43"/>
      <c r="D304" s="43"/>
      <c r="E304" s="43"/>
      <c r="F304" s="4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42"/>
      <c r="B305" s="42"/>
      <c r="C305" s="43"/>
      <c r="D305" s="43"/>
      <c r="E305" s="43"/>
      <c r="F305" s="4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42"/>
      <c r="B306" s="42"/>
      <c r="C306" s="43"/>
      <c r="D306" s="43"/>
      <c r="E306" s="43"/>
      <c r="F306" s="4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42"/>
      <c r="B307" s="42"/>
      <c r="C307" s="43"/>
      <c r="D307" s="43"/>
      <c r="E307" s="43"/>
      <c r="F307" s="4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42"/>
      <c r="B308" s="42"/>
      <c r="C308" s="43"/>
      <c r="D308" s="43"/>
      <c r="E308" s="43"/>
      <c r="F308" s="4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42"/>
      <c r="B309" s="42"/>
      <c r="C309" s="43"/>
      <c r="D309" s="43"/>
      <c r="E309" s="43"/>
      <c r="F309" s="4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42"/>
      <c r="B310" s="42"/>
      <c r="C310" s="43"/>
      <c r="D310" s="43"/>
      <c r="E310" s="43"/>
      <c r="F310" s="4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42"/>
      <c r="B311" s="42"/>
      <c r="C311" s="43"/>
      <c r="D311" s="43"/>
      <c r="E311" s="43"/>
      <c r="F311" s="4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42"/>
      <c r="B312" s="42"/>
      <c r="C312" s="43"/>
      <c r="D312" s="43"/>
      <c r="E312" s="43"/>
      <c r="F312" s="4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42"/>
      <c r="B313" s="42"/>
      <c r="C313" s="43"/>
      <c r="D313" s="43"/>
      <c r="E313" s="43"/>
      <c r="F313" s="4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42"/>
      <c r="B314" s="42"/>
      <c r="C314" s="43"/>
      <c r="D314" s="43"/>
      <c r="E314" s="43"/>
      <c r="F314" s="4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42"/>
      <c r="B315" s="42"/>
      <c r="C315" s="43"/>
      <c r="D315" s="43"/>
      <c r="E315" s="43"/>
      <c r="F315" s="4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42"/>
      <c r="B316" s="42"/>
      <c r="C316" s="43"/>
      <c r="D316" s="43"/>
      <c r="E316" s="43"/>
      <c r="F316" s="4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42"/>
      <c r="B317" s="42"/>
      <c r="C317" s="43"/>
      <c r="D317" s="43"/>
      <c r="E317" s="43"/>
      <c r="F317" s="4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42"/>
      <c r="B318" s="42"/>
      <c r="C318" s="43"/>
      <c r="D318" s="43"/>
      <c r="E318" s="43"/>
      <c r="F318" s="4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42"/>
      <c r="B319" s="42"/>
      <c r="C319" s="43"/>
      <c r="D319" s="43"/>
      <c r="E319" s="43"/>
      <c r="F319" s="4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42"/>
      <c r="B320" s="42"/>
      <c r="C320" s="43"/>
      <c r="D320" s="43"/>
      <c r="E320" s="43"/>
      <c r="F320" s="4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42"/>
      <c r="B321" s="42"/>
      <c r="C321" s="43"/>
      <c r="D321" s="43"/>
      <c r="E321" s="43"/>
      <c r="F321" s="4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42"/>
      <c r="B322" s="42"/>
      <c r="C322" s="43"/>
      <c r="D322" s="43"/>
      <c r="E322" s="43"/>
      <c r="F322" s="4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42"/>
      <c r="B323" s="42"/>
      <c r="C323" s="43"/>
      <c r="D323" s="43"/>
      <c r="E323" s="43"/>
      <c r="F323" s="4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42"/>
      <c r="B324" s="42"/>
      <c r="C324" s="43"/>
      <c r="D324" s="43"/>
      <c r="E324" s="43"/>
      <c r="F324" s="4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42"/>
      <c r="B325" s="42"/>
      <c r="C325" s="43"/>
      <c r="D325" s="43"/>
      <c r="E325" s="43"/>
      <c r="F325" s="4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42"/>
      <c r="B326" s="42"/>
      <c r="C326" s="43"/>
      <c r="D326" s="43"/>
      <c r="E326" s="43"/>
      <c r="F326" s="4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42"/>
      <c r="B327" s="42"/>
      <c r="C327" s="43"/>
      <c r="D327" s="43"/>
      <c r="E327" s="43"/>
      <c r="F327" s="4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42"/>
      <c r="B328" s="42"/>
      <c r="C328" s="43"/>
      <c r="D328" s="43"/>
      <c r="E328" s="43"/>
      <c r="F328" s="4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42"/>
      <c r="B329" s="42"/>
      <c r="C329" s="43"/>
      <c r="D329" s="43"/>
      <c r="E329" s="43"/>
      <c r="F329" s="4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42"/>
      <c r="B330" s="42"/>
      <c r="C330" s="43"/>
      <c r="D330" s="43"/>
      <c r="E330" s="43"/>
      <c r="F330" s="4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42"/>
      <c r="B331" s="42"/>
      <c r="C331" s="43"/>
      <c r="D331" s="43"/>
      <c r="E331" s="43"/>
      <c r="F331" s="4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42"/>
      <c r="B332" s="42"/>
      <c r="C332" s="43"/>
      <c r="D332" s="43"/>
      <c r="E332" s="43"/>
      <c r="F332" s="4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42"/>
      <c r="B333" s="42"/>
      <c r="C333" s="43"/>
      <c r="D333" s="43"/>
      <c r="E333" s="43"/>
      <c r="F333" s="4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42"/>
      <c r="B334" s="42"/>
      <c r="C334" s="43"/>
      <c r="D334" s="43"/>
      <c r="E334" s="43"/>
      <c r="F334" s="4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42"/>
      <c r="B335" s="42"/>
      <c r="C335" s="43"/>
      <c r="D335" s="43"/>
      <c r="E335" s="43"/>
      <c r="F335" s="4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42"/>
      <c r="B336" s="42"/>
      <c r="C336" s="43"/>
      <c r="D336" s="43"/>
      <c r="E336" s="43"/>
      <c r="F336" s="4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42"/>
      <c r="B337" s="42"/>
      <c r="C337" s="43"/>
      <c r="D337" s="43"/>
      <c r="E337" s="43"/>
      <c r="F337" s="4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42"/>
      <c r="B338" s="42"/>
      <c r="C338" s="43"/>
      <c r="D338" s="43"/>
      <c r="E338" s="43"/>
      <c r="F338" s="4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42"/>
      <c r="B339" s="42"/>
      <c r="C339" s="43"/>
      <c r="D339" s="43"/>
      <c r="E339" s="43"/>
      <c r="F339" s="4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42"/>
      <c r="B340" s="42"/>
      <c r="C340" s="43"/>
      <c r="D340" s="43"/>
      <c r="E340" s="43"/>
      <c r="F340" s="4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42"/>
      <c r="B341" s="42"/>
      <c r="C341" s="43"/>
      <c r="D341" s="43"/>
      <c r="E341" s="43"/>
      <c r="F341" s="4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42"/>
      <c r="B342" s="42"/>
      <c r="C342" s="43"/>
      <c r="D342" s="43"/>
      <c r="E342" s="43"/>
      <c r="F342" s="4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42"/>
      <c r="B343" s="42"/>
      <c r="C343" s="43"/>
      <c r="D343" s="43"/>
      <c r="E343" s="43"/>
      <c r="F343" s="4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42"/>
      <c r="B344" s="42"/>
      <c r="C344" s="43"/>
      <c r="D344" s="43"/>
      <c r="E344" s="43"/>
      <c r="F344" s="4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42"/>
      <c r="B345" s="42"/>
      <c r="C345" s="43"/>
      <c r="D345" s="43"/>
      <c r="E345" s="43"/>
      <c r="F345" s="4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42"/>
      <c r="B346" s="42"/>
      <c r="C346" s="43"/>
      <c r="D346" s="43"/>
      <c r="E346" s="43"/>
      <c r="F346" s="4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42"/>
      <c r="B347" s="42"/>
      <c r="C347" s="43"/>
      <c r="D347" s="43"/>
      <c r="E347" s="43"/>
      <c r="F347" s="4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42"/>
      <c r="B348" s="42"/>
      <c r="C348" s="43"/>
      <c r="D348" s="43"/>
      <c r="E348" s="43"/>
      <c r="F348" s="4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42"/>
      <c r="B349" s="42"/>
      <c r="C349" s="43"/>
      <c r="D349" s="43"/>
      <c r="E349" s="43"/>
      <c r="F349" s="4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42"/>
      <c r="B350" s="42"/>
      <c r="C350" s="43"/>
      <c r="D350" s="43"/>
      <c r="E350" s="43"/>
      <c r="F350" s="4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42"/>
      <c r="B351" s="42"/>
      <c r="C351" s="43"/>
      <c r="D351" s="43"/>
      <c r="E351" s="43"/>
      <c r="F351" s="4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42"/>
      <c r="B352" s="42"/>
      <c r="C352" s="43"/>
      <c r="D352" s="43"/>
      <c r="E352" s="43"/>
      <c r="F352" s="4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42"/>
      <c r="B353" s="42"/>
      <c r="C353" s="43"/>
      <c r="D353" s="43"/>
      <c r="E353" s="43"/>
      <c r="F353" s="4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42"/>
      <c r="B354" s="42"/>
      <c r="C354" s="43"/>
      <c r="D354" s="43"/>
      <c r="E354" s="43"/>
      <c r="F354" s="4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42"/>
      <c r="B355" s="42"/>
      <c r="C355" s="43"/>
      <c r="D355" s="43"/>
      <c r="E355" s="43"/>
      <c r="F355" s="4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42"/>
      <c r="B356" s="42"/>
      <c r="C356" s="43"/>
      <c r="D356" s="43"/>
      <c r="E356" s="43"/>
      <c r="F356" s="4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42"/>
      <c r="B357" s="42"/>
      <c r="C357" s="43"/>
      <c r="D357" s="43"/>
      <c r="E357" s="43"/>
      <c r="F357" s="4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42"/>
      <c r="B358" s="42"/>
      <c r="C358" s="43"/>
      <c r="D358" s="43"/>
      <c r="E358" s="43"/>
      <c r="F358" s="4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42"/>
      <c r="B359" s="42"/>
      <c r="C359" s="43"/>
      <c r="D359" s="43"/>
      <c r="E359" s="43"/>
      <c r="F359" s="4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42"/>
      <c r="B360" s="42"/>
      <c r="C360" s="43"/>
      <c r="D360" s="43"/>
      <c r="E360" s="43"/>
      <c r="F360" s="4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42"/>
      <c r="B361" s="42"/>
      <c r="C361" s="43"/>
      <c r="D361" s="43"/>
      <c r="E361" s="43"/>
      <c r="F361" s="4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42"/>
      <c r="B362" s="42"/>
      <c r="C362" s="43"/>
      <c r="D362" s="43"/>
      <c r="E362" s="43"/>
      <c r="F362" s="4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42"/>
      <c r="B363" s="42"/>
      <c r="C363" s="43"/>
      <c r="D363" s="43"/>
      <c r="E363" s="43"/>
      <c r="F363" s="4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42"/>
      <c r="B364" s="42"/>
      <c r="C364" s="43"/>
      <c r="D364" s="43"/>
      <c r="E364" s="43"/>
      <c r="F364" s="4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42"/>
      <c r="B365" s="42"/>
      <c r="C365" s="43"/>
      <c r="D365" s="43"/>
      <c r="E365" s="43"/>
      <c r="F365" s="4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42"/>
      <c r="B366" s="42"/>
      <c r="C366" s="43"/>
      <c r="D366" s="43"/>
      <c r="E366" s="43"/>
      <c r="F366" s="4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42"/>
      <c r="B367" s="42"/>
      <c r="C367" s="43"/>
      <c r="D367" s="43"/>
      <c r="E367" s="43"/>
      <c r="F367" s="4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42"/>
      <c r="B368" s="42"/>
      <c r="C368" s="43"/>
      <c r="D368" s="43"/>
      <c r="E368" s="43"/>
      <c r="F368" s="4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42"/>
      <c r="B369" s="42"/>
      <c r="C369" s="43"/>
      <c r="D369" s="43"/>
      <c r="E369" s="43"/>
      <c r="F369" s="4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42"/>
      <c r="B370" s="42"/>
      <c r="C370" s="43"/>
      <c r="D370" s="43"/>
      <c r="E370" s="43"/>
      <c r="F370" s="4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42"/>
      <c r="B371" s="42"/>
      <c r="C371" s="43"/>
      <c r="D371" s="43"/>
      <c r="E371" s="43"/>
      <c r="F371" s="4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42"/>
      <c r="B372" s="42"/>
      <c r="C372" s="43"/>
      <c r="D372" s="43"/>
      <c r="E372" s="43"/>
      <c r="F372" s="4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42"/>
      <c r="B373" s="42"/>
      <c r="C373" s="43"/>
      <c r="D373" s="43"/>
      <c r="E373" s="43"/>
      <c r="F373" s="4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42"/>
      <c r="B374" s="42"/>
      <c r="C374" s="43"/>
      <c r="D374" s="43"/>
      <c r="E374" s="43"/>
      <c r="F374" s="4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42"/>
      <c r="B375" s="42"/>
      <c r="C375" s="43"/>
      <c r="D375" s="43"/>
      <c r="E375" s="43"/>
      <c r="F375" s="4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42"/>
      <c r="B376" s="42"/>
      <c r="C376" s="43"/>
      <c r="D376" s="43"/>
      <c r="E376" s="43"/>
      <c r="F376" s="4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42"/>
      <c r="B377" s="42"/>
      <c r="C377" s="43"/>
      <c r="D377" s="43"/>
      <c r="E377" s="43"/>
      <c r="F377" s="4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42"/>
      <c r="B378" s="42"/>
      <c r="C378" s="43"/>
      <c r="D378" s="43"/>
      <c r="E378" s="43"/>
      <c r="F378" s="4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42"/>
      <c r="B379" s="42"/>
      <c r="C379" s="43"/>
      <c r="D379" s="43"/>
      <c r="E379" s="43"/>
      <c r="F379" s="4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42"/>
      <c r="B380" s="42"/>
      <c r="C380" s="43"/>
      <c r="D380" s="43"/>
      <c r="E380" s="43"/>
      <c r="F380" s="4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42"/>
      <c r="B381" s="42"/>
      <c r="C381" s="43"/>
      <c r="D381" s="43"/>
      <c r="E381" s="43"/>
      <c r="F381" s="4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42"/>
      <c r="B382" s="42"/>
      <c r="C382" s="43"/>
      <c r="D382" s="43"/>
      <c r="E382" s="43"/>
      <c r="F382" s="4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42"/>
      <c r="B383" s="42"/>
      <c r="C383" s="43"/>
      <c r="D383" s="43"/>
      <c r="E383" s="43"/>
      <c r="F383" s="4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42"/>
      <c r="B384" s="42"/>
      <c r="C384" s="43"/>
      <c r="D384" s="43"/>
      <c r="E384" s="43"/>
      <c r="F384" s="4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42"/>
      <c r="B385" s="42"/>
      <c r="C385" s="43"/>
      <c r="D385" s="43"/>
      <c r="E385" s="43"/>
      <c r="F385" s="4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42"/>
      <c r="B386" s="42"/>
      <c r="C386" s="43"/>
      <c r="D386" s="43"/>
      <c r="E386" s="43"/>
      <c r="F386" s="4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42"/>
      <c r="B387" s="42"/>
      <c r="C387" s="43"/>
      <c r="D387" s="43"/>
      <c r="E387" s="43"/>
      <c r="F387" s="4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42"/>
      <c r="B388" s="42"/>
      <c r="C388" s="43"/>
      <c r="D388" s="43"/>
      <c r="E388" s="43"/>
      <c r="F388" s="4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42"/>
      <c r="B389" s="42"/>
      <c r="C389" s="43"/>
      <c r="D389" s="43"/>
      <c r="E389" s="43"/>
      <c r="F389" s="4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42"/>
      <c r="B390" s="42"/>
      <c r="C390" s="43"/>
      <c r="D390" s="43"/>
      <c r="E390" s="43"/>
      <c r="F390" s="4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42"/>
      <c r="B391" s="42"/>
      <c r="C391" s="43"/>
      <c r="D391" s="43"/>
      <c r="E391" s="43"/>
      <c r="F391" s="4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42"/>
      <c r="B392" s="42"/>
      <c r="C392" s="43"/>
      <c r="D392" s="43"/>
      <c r="E392" s="43"/>
      <c r="F392" s="4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42"/>
      <c r="B393" s="42"/>
      <c r="C393" s="43"/>
      <c r="D393" s="43"/>
      <c r="E393" s="43"/>
      <c r="F393" s="4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42"/>
      <c r="B394" s="42"/>
      <c r="C394" s="43"/>
      <c r="D394" s="43"/>
      <c r="E394" s="43"/>
      <c r="F394" s="4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42"/>
      <c r="B395" s="42"/>
      <c r="C395" s="43"/>
      <c r="D395" s="43"/>
      <c r="E395" s="43"/>
      <c r="F395" s="4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42"/>
      <c r="B396" s="42"/>
      <c r="C396" s="43"/>
      <c r="D396" s="43"/>
      <c r="E396" s="43"/>
      <c r="F396" s="4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42"/>
      <c r="B397" s="42"/>
      <c r="C397" s="43"/>
      <c r="D397" s="43"/>
      <c r="E397" s="43"/>
      <c r="F397" s="4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42"/>
      <c r="B398" s="42"/>
      <c r="C398" s="43"/>
      <c r="D398" s="43"/>
      <c r="E398" s="43"/>
      <c r="F398" s="4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42"/>
      <c r="B399" s="42"/>
      <c r="C399" s="43"/>
      <c r="D399" s="43"/>
      <c r="E399" s="43"/>
      <c r="F399" s="4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42"/>
      <c r="B400" s="42"/>
      <c r="C400" s="43"/>
      <c r="D400" s="43"/>
      <c r="E400" s="43"/>
      <c r="F400" s="4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42"/>
      <c r="B401" s="42"/>
      <c r="C401" s="43"/>
      <c r="D401" s="43"/>
      <c r="E401" s="43"/>
      <c r="F401" s="4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42"/>
      <c r="B402" s="42"/>
      <c r="C402" s="43"/>
      <c r="D402" s="43"/>
      <c r="E402" s="43"/>
      <c r="F402" s="4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42"/>
      <c r="B403" s="42"/>
      <c r="C403" s="43"/>
      <c r="D403" s="43"/>
      <c r="E403" s="43"/>
      <c r="F403" s="4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42"/>
      <c r="B404" s="42"/>
      <c r="C404" s="43"/>
      <c r="D404" s="43"/>
      <c r="E404" s="43"/>
      <c r="F404" s="4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42"/>
      <c r="B405" s="42"/>
      <c r="C405" s="43"/>
      <c r="D405" s="43"/>
      <c r="E405" s="43"/>
      <c r="F405" s="4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42"/>
      <c r="B406" s="42"/>
      <c r="C406" s="43"/>
      <c r="D406" s="43"/>
      <c r="E406" s="43"/>
      <c r="F406" s="4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42"/>
      <c r="B407" s="42"/>
      <c r="C407" s="43"/>
      <c r="D407" s="43"/>
      <c r="E407" s="43"/>
      <c r="F407" s="4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42"/>
      <c r="B408" s="42"/>
      <c r="C408" s="43"/>
      <c r="D408" s="43"/>
      <c r="E408" s="43"/>
      <c r="F408" s="4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42"/>
      <c r="B409" s="42"/>
      <c r="C409" s="43"/>
      <c r="D409" s="43"/>
      <c r="E409" s="43"/>
      <c r="F409" s="4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42"/>
      <c r="B410" s="42"/>
      <c r="C410" s="43"/>
      <c r="D410" s="43"/>
      <c r="E410" s="43"/>
      <c r="F410" s="4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42"/>
      <c r="B411" s="42"/>
      <c r="C411" s="43"/>
      <c r="D411" s="43"/>
      <c r="E411" s="43"/>
      <c r="F411" s="4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42"/>
      <c r="B412" s="42"/>
      <c r="C412" s="43"/>
      <c r="D412" s="43"/>
      <c r="E412" s="43"/>
      <c r="F412" s="4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42"/>
      <c r="B413" s="42"/>
      <c r="C413" s="43"/>
      <c r="D413" s="43"/>
      <c r="E413" s="43"/>
      <c r="F413" s="4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42"/>
      <c r="B414" s="42"/>
      <c r="C414" s="43"/>
      <c r="D414" s="43"/>
      <c r="E414" s="43"/>
      <c r="F414" s="4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42"/>
      <c r="B415" s="42"/>
      <c r="C415" s="43"/>
      <c r="D415" s="43"/>
      <c r="E415" s="43"/>
      <c r="F415" s="4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42"/>
      <c r="B416" s="42"/>
      <c r="C416" s="43"/>
      <c r="D416" s="43"/>
      <c r="E416" s="43"/>
      <c r="F416" s="4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42"/>
      <c r="B417" s="42"/>
      <c r="C417" s="43"/>
      <c r="D417" s="43"/>
      <c r="E417" s="43"/>
      <c r="F417" s="4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42"/>
      <c r="B418" s="42"/>
      <c r="C418" s="43"/>
      <c r="D418" s="43"/>
      <c r="E418" s="43"/>
      <c r="F418" s="4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42"/>
      <c r="B419" s="42"/>
      <c r="C419" s="43"/>
      <c r="D419" s="43"/>
      <c r="E419" s="43"/>
      <c r="F419" s="4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42"/>
      <c r="B420" s="42"/>
      <c r="C420" s="43"/>
      <c r="D420" s="43"/>
      <c r="E420" s="43"/>
      <c r="F420" s="4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42"/>
      <c r="B421" s="42"/>
      <c r="C421" s="43"/>
      <c r="D421" s="43"/>
      <c r="E421" s="43"/>
      <c r="F421" s="4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42"/>
      <c r="B422" s="42"/>
      <c r="C422" s="43"/>
      <c r="D422" s="43"/>
      <c r="E422" s="43"/>
      <c r="F422" s="4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42"/>
      <c r="B423" s="42"/>
      <c r="C423" s="43"/>
      <c r="D423" s="43"/>
      <c r="E423" s="43"/>
      <c r="F423" s="4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42"/>
      <c r="B424" s="42"/>
      <c r="C424" s="43"/>
      <c r="D424" s="43"/>
      <c r="E424" s="43"/>
      <c r="F424" s="4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42"/>
      <c r="B425" s="42"/>
      <c r="C425" s="43"/>
      <c r="D425" s="43"/>
      <c r="E425" s="43"/>
      <c r="F425" s="4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42"/>
      <c r="B426" s="42"/>
      <c r="C426" s="43"/>
      <c r="D426" s="43"/>
      <c r="E426" s="43"/>
      <c r="F426" s="4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42"/>
      <c r="B427" s="42"/>
      <c r="C427" s="43"/>
      <c r="D427" s="43"/>
      <c r="E427" s="43"/>
      <c r="F427" s="4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42"/>
      <c r="B428" s="42"/>
      <c r="C428" s="43"/>
      <c r="D428" s="43"/>
      <c r="E428" s="43"/>
      <c r="F428" s="4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42"/>
      <c r="B429" s="42"/>
      <c r="C429" s="43"/>
      <c r="D429" s="43"/>
      <c r="E429" s="43"/>
      <c r="F429" s="4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42"/>
      <c r="B430" s="42"/>
      <c r="C430" s="43"/>
      <c r="D430" s="43"/>
      <c r="E430" s="43"/>
      <c r="F430" s="4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42"/>
      <c r="B431" s="42"/>
      <c r="C431" s="43"/>
      <c r="D431" s="43"/>
      <c r="E431" s="43"/>
      <c r="F431" s="4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42"/>
      <c r="B432" s="42"/>
      <c r="C432" s="43"/>
      <c r="D432" s="43"/>
      <c r="E432" s="43"/>
      <c r="F432" s="4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42"/>
      <c r="B433" s="42"/>
      <c r="C433" s="43"/>
      <c r="D433" s="43"/>
      <c r="E433" s="43"/>
      <c r="F433" s="4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42"/>
      <c r="B434" s="42"/>
      <c r="C434" s="43"/>
      <c r="D434" s="43"/>
      <c r="E434" s="43"/>
      <c r="F434" s="4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42"/>
      <c r="B435" s="42"/>
      <c r="C435" s="43"/>
      <c r="D435" s="43"/>
      <c r="E435" s="43"/>
      <c r="F435" s="4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42"/>
      <c r="B436" s="42"/>
      <c r="C436" s="43"/>
      <c r="D436" s="43"/>
      <c r="E436" s="43"/>
      <c r="F436" s="4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42"/>
      <c r="B437" s="42"/>
      <c r="C437" s="43"/>
      <c r="D437" s="43"/>
      <c r="E437" s="43"/>
      <c r="F437" s="4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42"/>
      <c r="B438" s="42"/>
      <c r="C438" s="43"/>
      <c r="D438" s="43"/>
      <c r="E438" s="43"/>
      <c r="F438" s="4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42"/>
      <c r="B439" s="42"/>
      <c r="C439" s="43"/>
      <c r="D439" s="43"/>
      <c r="E439" s="43"/>
      <c r="F439" s="4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42"/>
      <c r="B440" s="42"/>
      <c r="C440" s="43"/>
      <c r="D440" s="43"/>
      <c r="E440" s="43"/>
      <c r="F440" s="4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42"/>
      <c r="B441" s="42"/>
      <c r="C441" s="43"/>
      <c r="D441" s="43"/>
      <c r="E441" s="43"/>
      <c r="F441" s="4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42"/>
      <c r="B442" s="42"/>
      <c r="C442" s="43"/>
      <c r="D442" s="43"/>
      <c r="E442" s="43"/>
      <c r="F442" s="4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42"/>
      <c r="B443" s="42"/>
      <c r="C443" s="43"/>
      <c r="D443" s="43"/>
      <c r="E443" s="43"/>
      <c r="F443" s="4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42"/>
      <c r="B444" s="42"/>
      <c r="C444" s="43"/>
      <c r="D444" s="43"/>
      <c r="E444" s="43"/>
      <c r="F444" s="4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42"/>
      <c r="B445" s="42"/>
      <c r="C445" s="43"/>
      <c r="D445" s="43"/>
      <c r="E445" s="43"/>
      <c r="F445" s="4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42"/>
      <c r="B446" s="42"/>
      <c r="C446" s="43"/>
      <c r="D446" s="43"/>
      <c r="E446" s="43"/>
      <c r="F446" s="4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42"/>
      <c r="B447" s="42"/>
      <c r="C447" s="43"/>
      <c r="D447" s="43"/>
      <c r="E447" s="43"/>
      <c r="F447" s="4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42"/>
      <c r="B448" s="42"/>
      <c r="C448" s="43"/>
      <c r="D448" s="43"/>
      <c r="E448" s="43"/>
      <c r="F448" s="4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42"/>
      <c r="B449" s="42"/>
      <c r="C449" s="43"/>
      <c r="D449" s="43"/>
      <c r="E449" s="43"/>
      <c r="F449" s="4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42"/>
      <c r="B450" s="42"/>
      <c r="C450" s="43"/>
      <c r="D450" s="43"/>
      <c r="E450" s="43"/>
      <c r="F450" s="4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42"/>
      <c r="B451" s="42"/>
      <c r="C451" s="43"/>
      <c r="D451" s="43"/>
      <c r="E451" s="43"/>
      <c r="F451" s="4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42"/>
      <c r="B452" s="42"/>
      <c r="C452" s="43"/>
      <c r="D452" s="43"/>
      <c r="E452" s="43"/>
      <c r="F452" s="4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42"/>
      <c r="B453" s="42"/>
      <c r="C453" s="43"/>
      <c r="D453" s="43"/>
      <c r="E453" s="43"/>
      <c r="F453" s="4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42"/>
      <c r="B454" s="42"/>
      <c r="C454" s="43"/>
      <c r="D454" s="43"/>
      <c r="E454" s="43"/>
      <c r="F454" s="4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42"/>
      <c r="B455" s="42"/>
      <c r="C455" s="43"/>
      <c r="D455" s="43"/>
      <c r="E455" s="43"/>
      <c r="F455" s="4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42"/>
      <c r="B456" s="42"/>
      <c r="C456" s="43"/>
      <c r="D456" s="43"/>
      <c r="E456" s="43"/>
      <c r="F456" s="4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42"/>
      <c r="B457" s="42"/>
      <c r="C457" s="43"/>
      <c r="D457" s="43"/>
      <c r="E457" s="43"/>
      <c r="F457" s="4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42"/>
      <c r="B458" s="42"/>
      <c r="C458" s="43"/>
      <c r="D458" s="43"/>
      <c r="E458" s="43"/>
      <c r="F458" s="4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42"/>
      <c r="B459" s="42"/>
      <c r="C459" s="43"/>
      <c r="D459" s="43"/>
      <c r="E459" s="43"/>
      <c r="F459" s="4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42"/>
      <c r="B460" s="42"/>
      <c r="C460" s="43"/>
      <c r="D460" s="43"/>
      <c r="E460" s="43"/>
      <c r="F460" s="4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42"/>
      <c r="B461" s="42"/>
      <c r="C461" s="43"/>
      <c r="D461" s="43"/>
      <c r="E461" s="43"/>
      <c r="F461" s="4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42"/>
      <c r="B462" s="42"/>
      <c r="C462" s="43"/>
      <c r="D462" s="43"/>
      <c r="E462" s="43"/>
      <c r="F462" s="4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42"/>
      <c r="B463" s="42"/>
      <c r="C463" s="43"/>
      <c r="D463" s="43"/>
      <c r="E463" s="43"/>
      <c r="F463" s="4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42"/>
      <c r="B464" s="42"/>
      <c r="C464" s="43"/>
      <c r="D464" s="43"/>
      <c r="E464" s="43"/>
      <c r="F464" s="4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42"/>
      <c r="B465" s="42"/>
      <c r="C465" s="43"/>
      <c r="D465" s="43"/>
      <c r="E465" s="43"/>
      <c r="F465" s="4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42"/>
      <c r="B466" s="42"/>
      <c r="C466" s="43"/>
      <c r="D466" s="43"/>
      <c r="E466" s="43"/>
      <c r="F466" s="4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42"/>
      <c r="B467" s="42"/>
      <c r="C467" s="43"/>
      <c r="D467" s="43"/>
      <c r="E467" s="43"/>
      <c r="F467" s="4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42"/>
      <c r="B468" s="42"/>
      <c r="C468" s="43"/>
      <c r="D468" s="43"/>
      <c r="E468" s="43"/>
      <c r="F468" s="4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42"/>
      <c r="B469" s="42"/>
      <c r="C469" s="43"/>
      <c r="D469" s="43"/>
      <c r="E469" s="43"/>
      <c r="F469" s="4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42"/>
      <c r="B470" s="42"/>
      <c r="C470" s="43"/>
      <c r="D470" s="43"/>
      <c r="E470" s="43"/>
      <c r="F470" s="4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42"/>
      <c r="B471" s="42"/>
      <c r="C471" s="43"/>
      <c r="D471" s="43"/>
      <c r="E471" s="43"/>
      <c r="F471" s="4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42"/>
      <c r="B472" s="42"/>
      <c r="C472" s="43"/>
      <c r="D472" s="43"/>
      <c r="E472" s="43"/>
      <c r="F472" s="4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42"/>
      <c r="B473" s="42"/>
      <c r="C473" s="43"/>
      <c r="D473" s="43"/>
      <c r="E473" s="43"/>
      <c r="F473" s="4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42"/>
      <c r="B474" s="42"/>
      <c r="C474" s="43"/>
      <c r="D474" s="43"/>
      <c r="E474" s="43"/>
      <c r="F474" s="4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42"/>
      <c r="B475" s="42"/>
      <c r="C475" s="43"/>
      <c r="D475" s="43"/>
      <c r="E475" s="43"/>
      <c r="F475" s="4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42"/>
      <c r="B476" s="42"/>
      <c r="C476" s="43"/>
      <c r="D476" s="43"/>
      <c r="E476" s="43"/>
      <c r="F476" s="4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42"/>
      <c r="B477" s="42"/>
      <c r="C477" s="43"/>
      <c r="D477" s="43"/>
      <c r="E477" s="43"/>
      <c r="F477" s="4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42"/>
      <c r="B478" s="42"/>
      <c r="C478" s="43"/>
      <c r="D478" s="43"/>
      <c r="E478" s="43"/>
      <c r="F478" s="4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42"/>
      <c r="B479" s="42"/>
      <c r="C479" s="43"/>
      <c r="D479" s="43"/>
      <c r="E479" s="43"/>
      <c r="F479" s="4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42"/>
      <c r="B480" s="42"/>
      <c r="C480" s="43"/>
      <c r="D480" s="43"/>
      <c r="E480" s="43"/>
      <c r="F480" s="4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42"/>
      <c r="B481" s="42"/>
      <c r="C481" s="43"/>
      <c r="D481" s="43"/>
      <c r="E481" s="43"/>
      <c r="F481" s="4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42"/>
      <c r="B482" s="42"/>
      <c r="C482" s="43"/>
      <c r="D482" s="43"/>
      <c r="E482" s="43"/>
      <c r="F482" s="4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42"/>
      <c r="B483" s="42"/>
      <c r="C483" s="43"/>
      <c r="D483" s="43"/>
      <c r="E483" s="43"/>
      <c r="F483" s="4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42"/>
      <c r="B484" s="42"/>
      <c r="C484" s="43"/>
      <c r="D484" s="43"/>
      <c r="E484" s="43"/>
      <c r="F484" s="4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42"/>
      <c r="B485" s="42"/>
      <c r="C485" s="43"/>
      <c r="D485" s="43"/>
      <c r="E485" s="43"/>
      <c r="F485" s="4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42"/>
      <c r="B486" s="42"/>
      <c r="C486" s="43"/>
      <c r="D486" s="43"/>
      <c r="E486" s="43"/>
      <c r="F486" s="4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42"/>
      <c r="B487" s="42"/>
      <c r="C487" s="43"/>
      <c r="D487" s="43"/>
      <c r="E487" s="43"/>
      <c r="F487" s="4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42"/>
      <c r="B488" s="42"/>
      <c r="C488" s="43"/>
      <c r="D488" s="43"/>
      <c r="E488" s="43"/>
      <c r="F488" s="4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42"/>
      <c r="B489" s="42"/>
      <c r="C489" s="43"/>
      <c r="D489" s="43"/>
      <c r="E489" s="43"/>
      <c r="F489" s="4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42"/>
      <c r="B490" s="42"/>
      <c r="C490" s="43"/>
      <c r="D490" s="43"/>
      <c r="E490" s="43"/>
      <c r="F490" s="4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42"/>
      <c r="B491" s="42"/>
      <c r="C491" s="43"/>
      <c r="D491" s="43"/>
      <c r="E491" s="43"/>
      <c r="F491" s="4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42"/>
      <c r="B492" s="42"/>
      <c r="C492" s="43"/>
      <c r="D492" s="43"/>
      <c r="E492" s="43"/>
      <c r="F492" s="4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42"/>
      <c r="B493" s="42"/>
      <c r="C493" s="43"/>
      <c r="D493" s="43"/>
      <c r="E493" s="43"/>
      <c r="F493" s="4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42"/>
      <c r="B494" s="42"/>
      <c r="C494" s="43"/>
      <c r="D494" s="43"/>
      <c r="E494" s="43"/>
      <c r="F494" s="4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42"/>
      <c r="B495" s="42"/>
      <c r="C495" s="43"/>
      <c r="D495" s="43"/>
      <c r="E495" s="43"/>
      <c r="F495" s="4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42"/>
      <c r="B496" s="42"/>
      <c r="C496" s="43"/>
      <c r="D496" s="43"/>
      <c r="E496" s="43"/>
      <c r="F496" s="4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42"/>
      <c r="B497" s="42"/>
      <c r="C497" s="43"/>
      <c r="D497" s="43"/>
      <c r="E497" s="43"/>
      <c r="F497" s="4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42"/>
      <c r="B498" s="42"/>
      <c r="C498" s="43"/>
      <c r="D498" s="43"/>
      <c r="E498" s="43"/>
      <c r="F498" s="4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42"/>
      <c r="B499" s="42"/>
      <c r="C499" s="43"/>
      <c r="D499" s="43"/>
      <c r="E499" s="43"/>
      <c r="F499" s="4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42"/>
      <c r="B500" s="42"/>
      <c r="C500" s="43"/>
      <c r="D500" s="43"/>
      <c r="E500" s="43"/>
      <c r="F500" s="4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42"/>
      <c r="B501" s="42"/>
      <c r="C501" s="43"/>
      <c r="D501" s="43"/>
      <c r="E501" s="43"/>
      <c r="F501" s="4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42"/>
      <c r="B502" s="42"/>
      <c r="C502" s="43"/>
      <c r="D502" s="43"/>
      <c r="E502" s="43"/>
      <c r="F502" s="4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42"/>
      <c r="B503" s="42"/>
      <c r="C503" s="43"/>
      <c r="D503" s="43"/>
      <c r="E503" s="43"/>
      <c r="F503" s="4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42"/>
      <c r="B504" s="42"/>
      <c r="C504" s="43"/>
      <c r="D504" s="43"/>
      <c r="E504" s="43"/>
      <c r="F504" s="4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42"/>
      <c r="B505" s="42"/>
      <c r="C505" s="43"/>
      <c r="D505" s="43"/>
      <c r="E505" s="43"/>
      <c r="F505" s="4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42"/>
      <c r="B506" s="42"/>
      <c r="C506" s="43"/>
      <c r="D506" s="43"/>
      <c r="E506" s="43"/>
      <c r="F506" s="4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42"/>
      <c r="B507" s="42"/>
      <c r="C507" s="43"/>
      <c r="D507" s="43"/>
      <c r="E507" s="43"/>
      <c r="F507" s="4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42"/>
      <c r="B508" s="42"/>
      <c r="C508" s="43"/>
      <c r="D508" s="43"/>
      <c r="E508" s="43"/>
      <c r="F508" s="4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42"/>
      <c r="B509" s="42"/>
      <c r="C509" s="43"/>
      <c r="D509" s="43"/>
      <c r="E509" s="43"/>
      <c r="F509" s="4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42"/>
      <c r="B510" s="42"/>
      <c r="C510" s="43"/>
      <c r="D510" s="43"/>
      <c r="E510" s="43"/>
      <c r="F510" s="4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42"/>
      <c r="B511" s="42"/>
      <c r="C511" s="43"/>
      <c r="D511" s="43"/>
      <c r="E511" s="43"/>
      <c r="F511" s="4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42"/>
      <c r="B512" s="42"/>
      <c r="C512" s="43"/>
      <c r="D512" s="43"/>
      <c r="E512" s="43"/>
      <c r="F512" s="4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42"/>
      <c r="B513" s="42"/>
      <c r="C513" s="43"/>
      <c r="D513" s="43"/>
      <c r="E513" s="43"/>
      <c r="F513" s="4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42"/>
      <c r="B514" s="42"/>
      <c r="C514" s="43"/>
      <c r="D514" s="43"/>
      <c r="E514" s="43"/>
      <c r="F514" s="4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42"/>
      <c r="B515" s="42"/>
      <c r="C515" s="43"/>
      <c r="D515" s="43"/>
      <c r="E515" s="43"/>
      <c r="F515" s="4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42"/>
      <c r="B516" s="42"/>
      <c r="C516" s="43"/>
      <c r="D516" s="43"/>
      <c r="E516" s="43"/>
      <c r="F516" s="4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42"/>
      <c r="B517" s="42"/>
      <c r="C517" s="43"/>
      <c r="D517" s="43"/>
      <c r="E517" s="43"/>
      <c r="F517" s="4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42"/>
      <c r="B518" s="42"/>
      <c r="C518" s="43"/>
      <c r="D518" s="43"/>
      <c r="E518" s="43"/>
      <c r="F518" s="4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42"/>
      <c r="B519" s="42"/>
      <c r="C519" s="43"/>
      <c r="D519" s="43"/>
      <c r="E519" s="43"/>
      <c r="F519" s="4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42"/>
      <c r="B520" s="42"/>
      <c r="C520" s="43"/>
      <c r="D520" s="43"/>
      <c r="E520" s="43"/>
      <c r="F520" s="4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42"/>
      <c r="B521" s="42"/>
      <c r="C521" s="43"/>
      <c r="D521" s="43"/>
      <c r="E521" s="43"/>
      <c r="F521" s="4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42"/>
      <c r="B522" s="42"/>
      <c r="C522" s="43"/>
      <c r="D522" s="43"/>
      <c r="E522" s="43"/>
      <c r="F522" s="4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42"/>
      <c r="B523" s="42"/>
      <c r="C523" s="43"/>
      <c r="D523" s="43"/>
      <c r="E523" s="43"/>
      <c r="F523" s="4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42"/>
      <c r="B524" s="42"/>
      <c r="C524" s="43"/>
      <c r="D524" s="43"/>
      <c r="E524" s="43"/>
      <c r="F524" s="4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42"/>
      <c r="B525" s="42"/>
      <c r="C525" s="43"/>
      <c r="D525" s="43"/>
      <c r="E525" s="43"/>
      <c r="F525" s="4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42"/>
      <c r="B526" s="42"/>
      <c r="C526" s="43"/>
      <c r="D526" s="43"/>
      <c r="E526" s="43"/>
      <c r="F526" s="4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42"/>
      <c r="B527" s="42"/>
      <c r="C527" s="43"/>
      <c r="D527" s="43"/>
      <c r="E527" s="43"/>
      <c r="F527" s="4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42"/>
      <c r="B528" s="42"/>
      <c r="C528" s="43"/>
      <c r="D528" s="43"/>
      <c r="E528" s="43"/>
      <c r="F528" s="4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42"/>
      <c r="B529" s="42"/>
      <c r="C529" s="43"/>
      <c r="D529" s="43"/>
      <c r="E529" s="43"/>
      <c r="F529" s="4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42"/>
      <c r="B530" s="42"/>
      <c r="C530" s="43"/>
      <c r="D530" s="43"/>
      <c r="E530" s="43"/>
      <c r="F530" s="4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42"/>
      <c r="B531" s="42"/>
      <c r="C531" s="43"/>
      <c r="D531" s="43"/>
      <c r="E531" s="43"/>
      <c r="F531" s="4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42"/>
      <c r="B532" s="42"/>
      <c r="C532" s="43"/>
      <c r="D532" s="43"/>
      <c r="E532" s="43"/>
      <c r="F532" s="4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42"/>
      <c r="B533" s="42"/>
      <c r="C533" s="43"/>
      <c r="D533" s="43"/>
      <c r="E533" s="43"/>
      <c r="F533" s="4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42"/>
      <c r="B534" s="42"/>
      <c r="C534" s="43"/>
      <c r="D534" s="43"/>
      <c r="E534" s="43"/>
      <c r="F534" s="4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42"/>
      <c r="B535" s="42"/>
      <c r="C535" s="43"/>
      <c r="D535" s="43"/>
      <c r="E535" s="43"/>
      <c r="F535" s="4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42"/>
      <c r="B536" s="42"/>
      <c r="C536" s="43"/>
      <c r="D536" s="43"/>
      <c r="E536" s="43"/>
      <c r="F536" s="4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42"/>
      <c r="B537" s="42"/>
      <c r="C537" s="43"/>
      <c r="D537" s="43"/>
      <c r="E537" s="43"/>
      <c r="F537" s="4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42"/>
      <c r="B538" s="42"/>
      <c r="C538" s="43"/>
      <c r="D538" s="43"/>
      <c r="E538" s="43"/>
      <c r="F538" s="4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42"/>
      <c r="B539" s="42"/>
      <c r="C539" s="43"/>
      <c r="D539" s="43"/>
      <c r="E539" s="43"/>
      <c r="F539" s="4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42"/>
      <c r="B540" s="42"/>
      <c r="C540" s="43"/>
      <c r="D540" s="43"/>
      <c r="E540" s="43"/>
      <c r="F540" s="4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42"/>
      <c r="B541" s="42"/>
      <c r="C541" s="43"/>
      <c r="D541" s="43"/>
      <c r="E541" s="43"/>
      <c r="F541" s="4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42"/>
      <c r="B542" s="42"/>
      <c r="C542" s="43"/>
      <c r="D542" s="43"/>
      <c r="E542" s="43"/>
      <c r="F542" s="4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42"/>
      <c r="B543" s="42"/>
      <c r="C543" s="43"/>
      <c r="D543" s="43"/>
      <c r="E543" s="43"/>
      <c r="F543" s="4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42"/>
      <c r="B544" s="42"/>
      <c r="C544" s="43"/>
      <c r="D544" s="43"/>
      <c r="E544" s="43"/>
      <c r="F544" s="4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42"/>
      <c r="B545" s="42"/>
      <c r="C545" s="43"/>
      <c r="D545" s="43"/>
      <c r="E545" s="43"/>
      <c r="F545" s="4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42"/>
      <c r="B546" s="42"/>
      <c r="C546" s="43"/>
      <c r="D546" s="43"/>
      <c r="E546" s="43"/>
      <c r="F546" s="4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42"/>
      <c r="B547" s="42"/>
      <c r="C547" s="43"/>
      <c r="D547" s="43"/>
      <c r="E547" s="43"/>
      <c r="F547" s="4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42"/>
      <c r="B548" s="42"/>
      <c r="C548" s="43"/>
      <c r="D548" s="43"/>
      <c r="E548" s="43"/>
      <c r="F548" s="4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42"/>
      <c r="B549" s="42"/>
      <c r="C549" s="43"/>
      <c r="D549" s="43"/>
      <c r="E549" s="43"/>
      <c r="F549" s="4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42"/>
      <c r="B550" s="42"/>
      <c r="C550" s="43"/>
      <c r="D550" s="43"/>
      <c r="E550" s="43"/>
      <c r="F550" s="4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42"/>
      <c r="B551" s="42"/>
      <c r="C551" s="43"/>
      <c r="D551" s="43"/>
      <c r="E551" s="43"/>
      <c r="F551" s="4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42"/>
      <c r="B552" s="42"/>
      <c r="C552" s="43"/>
      <c r="D552" s="43"/>
      <c r="E552" s="43"/>
      <c r="F552" s="4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42"/>
      <c r="B553" s="42"/>
      <c r="C553" s="43"/>
      <c r="D553" s="43"/>
      <c r="E553" s="43"/>
      <c r="F553" s="4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42"/>
      <c r="B554" s="42"/>
      <c r="C554" s="43"/>
      <c r="D554" s="43"/>
      <c r="E554" s="43"/>
      <c r="F554" s="4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42"/>
      <c r="B555" s="42"/>
      <c r="C555" s="43"/>
      <c r="D555" s="43"/>
      <c r="E555" s="43"/>
      <c r="F555" s="4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42"/>
      <c r="B556" s="42"/>
      <c r="C556" s="43"/>
      <c r="D556" s="43"/>
      <c r="E556" s="43"/>
      <c r="F556" s="4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42"/>
      <c r="B557" s="42"/>
      <c r="C557" s="43"/>
      <c r="D557" s="43"/>
      <c r="E557" s="43"/>
      <c r="F557" s="4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42"/>
      <c r="B558" s="42"/>
      <c r="C558" s="43"/>
      <c r="D558" s="43"/>
      <c r="E558" s="43"/>
      <c r="F558" s="4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42"/>
      <c r="B559" s="42"/>
      <c r="C559" s="43"/>
      <c r="D559" s="43"/>
      <c r="E559" s="43"/>
      <c r="F559" s="4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42"/>
      <c r="B560" s="42"/>
      <c r="C560" s="43"/>
      <c r="D560" s="43"/>
      <c r="E560" s="43"/>
      <c r="F560" s="4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42"/>
      <c r="B561" s="42"/>
      <c r="C561" s="43"/>
      <c r="D561" s="43"/>
      <c r="E561" s="43"/>
      <c r="F561" s="4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42"/>
      <c r="B562" s="42"/>
      <c r="C562" s="43"/>
      <c r="D562" s="43"/>
      <c r="E562" s="43"/>
      <c r="F562" s="4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42"/>
      <c r="B563" s="42"/>
      <c r="C563" s="43"/>
      <c r="D563" s="43"/>
      <c r="E563" s="43"/>
      <c r="F563" s="4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42"/>
      <c r="B564" s="42"/>
      <c r="C564" s="43"/>
      <c r="D564" s="43"/>
      <c r="E564" s="43"/>
      <c r="F564" s="4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42"/>
      <c r="B565" s="42"/>
      <c r="C565" s="43"/>
      <c r="D565" s="43"/>
      <c r="E565" s="43"/>
      <c r="F565" s="4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42"/>
      <c r="B566" s="42"/>
      <c r="C566" s="43"/>
      <c r="D566" s="43"/>
      <c r="E566" s="43"/>
      <c r="F566" s="4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42"/>
      <c r="B567" s="42"/>
      <c r="C567" s="43"/>
      <c r="D567" s="43"/>
      <c r="E567" s="43"/>
      <c r="F567" s="4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42"/>
      <c r="B568" s="42"/>
      <c r="C568" s="43"/>
      <c r="D568" s="43"/>
      <c r="E568" s="43"/>
      <c r="F568" s="4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42"/>
      <c r="B569" s="42"/>
      <c r="C569" s="43"/>
      <c r="D569" s="43"/>
      <c r="E569" s="43"/>
      <c r="F569" s="4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42"/>
      <c r="B570" s="42"/>
      <c r="C570" s="43"/>
      <c r="D570" s="43"/>
      <c r="E570" s="43"/>
      <c r="F570" s="4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42"/>
      <c r="B571" s="42"/>
      <c r="C571" s="43"/>
      <c r="D571" s="43"/>
      <c r="E571" s="43"/>
      <c r="F571" s="4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42"/>
      <c r="B572" s="42"/>
      <c r="C572" s="43"/>
      <c r="D572" s="43"/>
      <c r="E572" s="43"/>
      <c r="F572" s="4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42"/>
      <c r="B573" s="42"/>
      <c r="C573" s="43"/>
      <c r="D573" s="43"/>
      <c r="E573" s="43"/>
      <c r="F573" s="4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42"/>
      <c r="B574" s="42"/>
      <c r="C574" s="43"/>
      <c r="D574" s="43"/>
      <c r="E574" s="43"/>
      <c r="F574" s="4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42"/>
      <c r="B575" s="42"/>
      <c r="C575" s="43"/>
      <c r="D575" s="43"/>
      <c r="E575" s="43"/>
      <c r="F575" s="4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42"/>
      <c r="B576" s="42"/>
      <c r="C576" s="43"/>
      <c r="D576" s="43"/>
      <c r="E576" s="43"/>
      <c r="F576" s="4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42"/>
      <c r="B577" s="42"/>
      <c r="C577" s="43"/>
      <c r="D577" s="43"/>
      <c r="E577" s="43"/>
      <c r="F577" s="4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42"/>
      <c r="B578" s="42"/>
      <c r="C578" s="43"/>
      <c r="D578" s="43"/>
      <c r="E578" s="43"/>
      <c r="F578" s="4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42"/>
      <c r="B579" s="42"/>
      <c r="C579" s="43"/>
      <c r="D579" s="43"/>
      <c r="E579" s="43"/>
      <c r="F579" s="4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42"/>
      <c r="B580" s="42"/>
      <c r="C580" s="43"/>
      <c r="D580" s="43"/>
      <c r="E580" s="43"/>
      <c r="F580" s="4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42"/>
      <c r="B581" s="42"/>
      <c r="C581" s="43"/>
      <c r="D581" s="43"/>
      <c r="E581" s="43"/>
      <c r="F581" s="4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42"/>
      <c r="B582" s="42"/>
      <c r="C582" s="43"/>
      <c r="D582" s="43"/>
      <c r="E582" s="43"/>
      <c r="F582" s="4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42"/>
      <c r="B583" s="42"/>
      <c r="C583" s="43"/>
      <c r="D583" s="43"/>
      <c r="E583" s="43"/>
      <c r="F583" s="4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42"/>
      <c r="B584" s="42"/>
      <c r="C584" s="43"/>
      <c r="D584" s="43"/>
      <c r="E584" s="43"/>
      <c r="F584" s="4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42"/>
      <c r="B585" s="42"/>
      <c r="C585" s="43"/>
      <c r="D585" s="43"/>
      <c r="E585" s="43"/>
      <c r="F585" s="4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42"/>
      <c r="B586" s="42"/>
      <c r="C586" s="43"/>
      <c r="D586" s="43"/>
      <c r="E586" s="43"/>
      <c r="F586" s="4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42"/>
      <c r="B587" s="42"/>
      <c r="C587" s="43"/>
      <c r="D587" s="43"/>
      <c r="E587" s="43"/>
      <c r="F587" s="4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42"/>
      <c r="B588" s="42"/>
      <c r="C588" s="43"/>
      <c r="D588" s="43"/>
      <c r="E588" s="43"/>
      <c r="F588" s="4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42"/>
      <c r="B589" s="42"/>
      <c r="C589" s="43"/>
      <c r="D589" s="43"/>
      <c r="E589" s="43"/>
      <c r="F589" s="4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42"/>
      <c r="B590" s="42"/>
      <c r="C590" s="43"/>
      <c r="D590" s="43"/>
      <c r="E590" s="43"/>
      <c r="F590" s="4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42"/>
      <c r="B591" s="42"/>
      <c r="C591" s="43"/>
      <c r="D591" s="43"/>
      <c r="E591" s="43"/>
      <c r="F591" s="4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42"/>
      <c r="B592" s="42"/>
      <c r="C592" s="43"/>
      <c r="D592" s="43"/>
      <c r="E592" s="43"/>
      <c r="F592" s="4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42"/>
      <c r="B593" s="42"/>
      <c r="C593" s="43"/>
      <c r="D593" s="43"/>
      <c r="E593" s="43"/>
      <c r="F593" s="4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42"/>
      <c r="B594" s="42"/>
      <c r="C594" s="43"/>
      <c r="D594" s="43"/>
      <c r="E594" s="43"/>
      <c r="F594" s="4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42"/>
      <c r="B595" s="42"/>
      <c r="C595" s="43"/>
      <c r="D595" s="43"/>
      <c r="E595" s="43"/>
      <c r="F595" s="4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42"/>
      <c r="B596" s="42"/>
      <c r="C596" s="43"/>
      <c r="D596" s="43"/>
      <c r="E596" s="43"/>
      <c r="F596" s="4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42"/>
      <c r="B597" s="42"/>
      <c r="C597" s="43"/>
      <c r="D597" s="43"/>
      <c r="E597" s="43"/>
      <c r="F597" s="4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42"/>
      <c r="B598" s="42"/>
      <c r="C598" s="43"/>
      <c r="D598" s="43"/>
      <c r="E598" s="43"/>
      <c r="F598" s="4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42"/>
      <c r="B599" s="42"/>
      <c r="C599" s="43"/>
      <c r="D599" s="43"/>
      <c r="E599" s="43"/>
      <c r="F599" s="4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42"/>
      <c r="B600" s="42"/>
      <c r="C600" s="43"/>
      <c r="D600" s="43"/>
      <c r="E600" s="43"/>
      <c r="F600" s="4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42"/>
      <c r="B601" s="42"/>
      <c r="C601" s="43"/>
      <c r="D601" s="43"/>
      <c r="E601" s="43"/>
      <c r="F601" s="4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42"/>
      <c r="B602" s="42"/>
      <c r="C602" s="43"/>
      <c r="D602" s="43"/>
      <c r="E602" s="43"/>
      <c r="F602" s="4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42"/>
      <c r="B603" s="42"/>
      <c r="C603" s="43"/>
      <c r="D603" s="43"/>
      <c r="E603" s="43"/>
      <c r="F603" s="4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42"/>
      <c r="B604" s="42"/>
      <c r="C604" s="43"/>
      <c r="D604" s="43"/>
      <c r="E604" s="43"/>
      <c r="F604" s="4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42"/>
      <c r="B605" s="42"/>
      <c r="C605" s="43"/>
      <c r="D605" s="43"/>
      <c r="E605" s="43"/>
      <c r="F605" s="4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42"/>
      <c r="B606" s="42"/>
      <c r="C606" s="43"/>
      <c r="D606" s="43"/>
      <c r="E606" s="43"/>
      <c r="F606" s="4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42"/>
      <c r="B607" s="42"/>
      <c r="C607" s="43"/>
      <c r="D607" s="43"/>
      <c r="E607" s="43"/>
      <c r="F607" s="4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42"/>
      <c r="B608" s="42"/>
      <c r="C608" s="43"/>
      <c r="D608" s="43"/>
      <c r="E608" s="43"/>
      <c r="F608" s="4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42"/>
      <c r="B609" s="42"/>
      <c r="C609" s="43"/>
      <c r="D609" s="43"/>
      <c r="E609" s="43"/>
      <c r="F609" s="4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42"/>
      <c r="B610" s="42"/>
      <c r="C610" s="43"/>
      <c r="D610" s="43"/>
      <c r="E610" s="43"/>
      <c r="F610" s="4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42"/>
      <c r="B611" s="42"/>
      <c r="C611" s="43"/>
      <c r="D611" s="43"/>
      <c r="E611" s="43"/>
      <c r="F611" s="4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42"/>
      <c r="B612" s="42"/>
      <c r="C612" s="43"/>
      <c r="D612" s="43"/>
      <c r="E612" s="43"/>
      <c r="F612" s="4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42"/>
      <c r="B613" s="42"/>
      <c r="C613" s="43"/>
      <c r="D613" s="43"/>
      <c r="E613" s="43"/>
      <c r="F613" s="4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42"/>
      <c r="B614" s="42"/>
      <c r="C614" s="43"/>
      <c r="D614" s="43"/>
      <c r="E614" s="43"/>
      <c r="F614" s="4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42"/>
      <c r="B615" s="42"/>
      <c r="C615" s="43"/>
      <c r="D615" s="43"/>
      <c r="E615" s="43"/>
      <c r="F615" s="4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42"/>
      <c r="B616" s="42"/>
      <c r="C616" s="43"/>
      <c r="D616" s="43"/>
      <c r="E616" s="43"/>
      <c r="F616" s="4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42"/>
      <c r="B617" s="42"/>
      <c r="C617" s="43"/>
      <c r="D617" s="43"/>
      <c r="E617" s="43"/>
      <c r="F617" s="4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42"/>
      <c r="B618" s="42"/>
      <c r="C618" s="43"/>
      <c r="D618" s="43"/>
      <c r="E618" s="43"/>
      <c r="F618" s="4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42"/>
      <c r="B619" s="42"/>
      <c r="C619" s="43"/>
      <c r="D619" s="43"/>
      <c r="E619" s="43"/>
      <c r="F619" s="4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42"/>
      <c r="B620" s="42"/>
      <c r="C620" s="43"/>
      <c r="D620" s="43"/>
      <c r="E620" s="43"/>
      <c r="F620" s="4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42"/>
      <c r="B621" s="42"/>
      <c r="C621" s="43"/>
      <c r="D621" s="43"/>
      <c r="E621" s="43"/>
      <c r="F621" s="4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42"/>
      <c r="B622" s="42"/>
      <c r="C622" s="43"/>
      <c r="D622" s="43"/>
      <c r="E622" s="43"/>
      <c r="F622" s="4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42"/>
      <c r="B623" s="42"/>
      <c r="C623" s="43"/>
      <c r="D623" s="43"/>
      <c r="E623" s="43"/>
      <c r="F623" s="4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42"/>
      <c r="B624" s="42"/>
      <c r="C624" s="43"/>
      <c r="D624" s="43"/>
      <c r="E624" s="43"/>
      <c r="F624" s="4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42"/>
      <c r="B625" s="42"/>
      <c r="C625" s="43"/>
      <c r="D625" s="43"/>
      <c r="E625" s="43"/>
      <c r="F625" s="4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42"/>
      <c r="B626" s="42"/>
      <c r="C626" s="43"/>
      <c r="D626" s="43"/>
      <c r="E626" s="43"/>
      <c r="F626" s="4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42"/>
      <c r="B627" s="42"/>
      <c r="C627" s="43"/>
      <c r="D627" s="43"/>
      <c r="E627" s="43"/>
      <c r="F627" s="4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42"/>
      <c r="B628" s="42"/>
      <c r="C628" s="43"/>
      <c r="D628" s="43"/>
      <c r="E628" s="43"/>
      <c r="F628" s="4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42"/>
      <c r="B629" s="42"/>
      <c r="C629" s="43"/>
      <c r="D629" s="43"/>
      <c r="E629" s="43"/>
      <c r="F629" s="4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42"/>
      <c r="B630" s="42"/>
      <c r="C630" s="43"/>
      <c r="D630" s="43"/>
      <c r="E630" s="43"/>
      <c r="F630" s="4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42"/>
      <c r="B631" s="42"/>
      <c r="C631" s="43"/>
      <c r="D631" s="43"/>
      <c r="E631" s="43"/>
      <c r="F631" s="4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42"/>
      <c r="B632" s="42"/>
      <c r="C632" s="43"/>
      <c r="D632" s="43"/>
      <c r="E632" s="43"/>
      <c r="F632" s="4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42"/>
      <c r="B633" s="42"/>
      <c r="C633" s="43"/>
      <c r="D633" s="43"/>
      <c r="E633" s="43"/>
      <c r="F633" s="4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42"/>
      <c r="B634" s="42"/>
      <c r="C634" s="43"/>
      <c r="D634" s="43"/>
      <c r="E634" s="43"/>
      <c r="F634" s="4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42"/>
      <c r="B635" s="42"/>
      <c r="C635" s="43"/>
      <c r="D635" s="43"/>
      <c r="E635" s="43"/>
      <c r="F635" s="4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42"/>
      <c r="B636" s="42"/>
      <c r="C636" s="43"/>
      <c r="D636" s="43"/>
      <c r="E636" s="43"/>
      <c r="F636" s="4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42"/>
      <c r="B637" s="42"/>
      <c r="C637" s="43"/>
      <c r="D637" s="43"/>
      <c r="E637" s="43"/>
      <c r="F637" s="4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42"/>
      <c r="B638" s="42"/>
      <c r="C638" s="43"/>
      <c r="D638" s="43"/>
      <c r="E638" s="43"/>
      <c r="F638" s="4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42"/>
      <c r="B639" s="42"/>
      <c r="C639" s="43"/>
      <c r="D639" s="43"/>
      <c r="E639" s="43"/>
      <c r="F639" s="4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42"/>
      <c r="B640" s="42"/>
      <c r="C640" s="43"/>
      <c r="D640" s="43"/>
      <c r="E640" s="43"/>
      <c r="F640" s="4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42"/>
      <c r="B641" s="42"/>
      <c r="C641" s="43"/>
      <c r="D641" s="43"/>
      <c r="E641" s="43"/>
      <c r="F641" s="4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42"/>
      <c r="B642" s="42"/>
      <c r="C642" s="43"/>
      <c r="D642" s="43"/>
      <c r="E642" s="43"/>
      <c r="F642" s="4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42"/>
      <c r="B643" s="42"/>
      <c r="C643" s="43"/>
      <c r="D643" s="43"/>
      <c r="E643" s="43"/>
      <c r="F643" s="4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42"/>
      <c r="B644" s="42"/>
      <c r="C644" s="43"/>
      <c r="D644" s="43"/>
      <c r="E644" s="43"/>
      <c r="F644" s="4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42"/>
      <c r="B645" s="42"/>
      <c r="C645" s="43"/>
      <c r="D645" s="43"/>
      <c r="E645" s="43"/>
      <c r="F645" s="4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42"/>
      <c r="B646" s="42"/>
      <c r="C646" s="43"/>
      <c r="D646" s="43"/>
      <c r="E646" s="43"/>
      <c r="F646" s="4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42"/>
      <c r="B647" s="42"/>
      <c r="C647" s="43"/>
      <c r="D647" s="43"/>
      <c r="E647" s="43"/>
      <c r="F647" s="4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42"/>
      <c r="B648" s="42"/>
      <c r="C648" s="43"/>
      <c r="D648" s="43"/>
      <c r="E648" s="43"/>
      <c r="F648" s="4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42"/>
      <c r="B649" s="42"/>
      <c r="C649" s="43"/>
      <c r="D649" s="43"/>
      <c r="E649" s="43"/>
      <c r="F649" s="4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42"/>
      <c r="B650" s="42"/>
      <c r="C650" s="43"/>
      <c r="D650" s="43"/>
      <c r="E650" s="43"/>
      <c r="F650" s="4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42"/>
      <c r="B651" s="42"/>
      <c r="C651" s="43"/>
      <c r="D651" s="43"/>
      <c r="E651" s="43"/>
      <c r="F651" s="4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42"/>
      <c r="B652" s="42"/>
      <c r="C652" s="43"/>
      <c r="D652" s="43"/>
      <c r="E652" s="43"/>
      <c r="F652" s="4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42"/>
      <c r="B653" s="42"/>
      <c r="C653" s="43"/>
      <c r="D653" s="43"/>
      <c r="E653" s="43"/>
      <c r="F653" s="4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42"/>
      <c r="B654" s="42"/>
      <c r="C654" s="43"/>
      <c r="D654" s="43"/>
      <c r="E654" s="43"/>
      <c r="F654" s="4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42"/>
      <c r="B655" s="42"/>
      <c r="C655" s="43"/>
      <c r="D655" s="43"/>
      <c r="E655" s="43"/>
      <c r="F655" s="4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42"/>
      <c r="B656" s="42"/>
      <c r="C656" s="43"/>
      <c r="D656" s="43"/>
      <c r="E656" s="43"/>
      <c r="F656" s="4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42"/>
      <c r="B657" s="42"/>
      <c r="C657" s="43"/>
      <c r="D657" s="43"/>
      <c r="E657" s="43"/>
      <c r="F657" s="4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42"/>
      <c r="B658" s="42"/>
      <c r="C658" s="43"/>
      <c r="D658" s="43"/>
      <c r="E658" s="43"/>
      <c r="F658" s="4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42"/>
      <c r="B659" s="42"/>
      <c r="C659" s="43"/>
      <c r="D659" s="43"/>
      <c r="E659" s="43"/>
      <c r="F659" s="4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42"/>
      <c r="B660" s="42"/>
      <c r="C660" s="43"/>
      <c r="D660" s="43"/>
      <c r="E660" s="43"/>
      <c r="F660" s="4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42"/>
      <c r="B661" s="42"/>
      <c r="C661" s="43"/>
      <c r="D661" s="43"/>
      <c r="E661" s="43"/>
      <c r="F661" s="4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42"/>
      <c r="B662" s="42"/>
      <c r="C662" s="43"/>
      <c r="D662" s="43"/>
      <c r="E662" s="43"/>
      <c r="F662" s="4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42"/>
      <c r="B663" s="42"/>
      <c r="C663" s="43"/>
      <c r="D663" s="43"/>
      <c r="E663" s="43"/>
      <c r="F663" s="4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42"/>
      <c r="B664" s="42"/>
      <c r="C664" s="43"/>
      <c r="D664" s="43"/>
      <c r="E664" s="43"/>
      <c r="F664" s="4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42"/>
      <c r="B665" s="42"/>
      <c r="C665" s="43"/>
      <c r="D665" s="43"/>
      <c r="E665" s="43"/>
      <c r="F665" s="4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42"/>
      <c r="B666" s="42"/>
      <c r="C666" s="43"/>
      <c r="D666" s="43"/>
      <c r="E666" s="43"/>
      <c r="F666" s="4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42"/>
      <c r="B667" s="42"/>
      <c r="C667" s="43"/>
      <c r="D667" s="43"/>
      <c r="E667" s="43"/>
      <c r="F667" s="4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42"/>
      <c r="B668" s="42"/>
      <c r="C668" s="43"/>
      <c r="D668" s="43"/>
      <c r="E668" s="43"/>
      <c r="F668" s="4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42"/>
      <c r="B669" s="42"/>
      <c r="C669" s="43"/>
      <c r="D669" s="43"/>
      <c r="E669" s="43"/>
      <c r="F669" s="4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42"/>
      <c r="B670" s="42"/>
      <c r="C670" s="43"/>
      <c r="D670" s="43"/>
      <c r="E670" s="43"/>
      <c r="F670" s="4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42"/>
      <c r="B671" s="42"/>
      <c r="C671" s="43"/>
      <c r="D671" s="43"/>
      <c r="E671" s="43"/>
      <c r="F671" s="4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42"/>
      <c r="B672" s="42"/>
      <c r="C672" s="43"/>
      <c r="D672" s="43"/>
      <c r="E672" s="43"/>
      <c r="F672" s="4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42"/>
      <c r="B673" s="42"/>
      <c r="C673" s="43"/>
      <c r="D673" s="43"/>
      <c r="E673" s="43"/>
      <c r="F673" s="4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42"/>
      <c r="B674" s="42"/>
      <c r="C674" s="43"/>
      <c r="D674" s="43"/>
      <c r="E674" s="43"/>
      <c r="F674" s="4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42"/>
      <c r="B675" s="42"/>
      <c r="C675" s="43"/>
      <c r="D675" s="43"/>
      <c r="E675" s="43"/>
      <c r="F675" s="4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42"/>
      <c r="B676" s="42"/>
      <c r="C676" s="43"/>
      <c r="D676" s="43"/>
      <c r="E676" s="43"/>
      <c r="F676" s="4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42"/>
      <c r="B677" s="42"/>
      <c r="C677" s="43"/>
      <c r="D677" s="43"/>
      <c r="E677" s="43"/>
      <c r="F677" s="4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42"/>
      <c r="B678" s="42"/>
      <c r="C678" s="43"/>
      <c r="D678" s="43"/>
      <c r="E678" s="43"/>
      <c r="F678" s="4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42"/>
      <c r="B679" s="42"/>
      <c r="C679" s="43"/>
      <c r="D679" s="43"/>
      <c r="E679" s="43"/>
      <c r="F679" s="4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42"/>
      <c r="B680" s="42"/>
      <c r="C680" s="43"/>
      <c r="D680" s="43"/>
      <c r="E680" s="43"/>
      <c r="F680" s="4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42"/>
      <c r="B681" s="42"/>
      <c r="C681" s="43"/>
      <c r="D681" s="43"/>
      <c r="E681" s="43"/>
      <c r="F681" s="4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42"/>
      <c r="B682" s="42"/>
      <c r="C682" s="43"/>
      <c r="D682" s="43"/>
      <c r="E682" s="43"/>
      <c r="F682" s="4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42"/>
      <c r="B683" s="42"/>
      <c r="C683" s="43"/>
      <c r="D683" s="43"/>
      <c r="E683" s="43"/>
      <c r="F683" s="4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42"/>
      <c r="B684" s="42"/>
      <c r="C684" s="43"/>
      <c r="D684" s="43"/>
      <c r="E684" s="43"/>
      <c r="F684" s="4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42"/>
      <c r="B685" s="42"/>
      <c r="C685" s="43"/>
      <c r="D685" s="43"/>
      <c r="E685" s="43"/>
      <c r="F685" s="4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42"/>
      <c r="B686" s="42"/>
      <c r="C686" s="43"/>
      <c r="D686" s="43"/>
      <c r="E686" s="43"/>
      <c r="F686" s="4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42"/>
      <c r="B687" s="42"/>
      <c r="C687" s="43"/>
      <c r="D687" s="43"/>
      <c r="E687" s="43"/>
      <c r="F687" s="4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42"/>
      <c r="B688" s="42"/>
      <c r="C688" s="43"/>
      <c r="D688" s="43"/>
      <c r="E688" s="43"/>
      <c r="F688" s="4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42"/>
      <c r="B689" s="42"/>
      <c r="C689" s="43"/>
      <c r="D689" s="43"/>
      <c r="E689" s="43"/>
      <c r="F689" s="4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42"/>
      <c r="B690" s="42"/>
      <c r="C690" s="43"/>
      <c r="D690" s="43"/>
      <c r="E690" s="43"/>
      <c r="F690" s="4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42"/>
      <c r="B691" s="42"/>
      <c r="C691" s="43"/>
      <c r="D691" s="43"/>
      <c r="E691" s="43"/>
      <c r="F691" s="4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42"/>
      <c r="B692" s="42"/>
      <c r="C692" s="43"/>
      <c r="D692" s="43"/>
      <c r="E692" s="43"/>
      <c r="F692" s="4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42"/>
      <c r="B693" s="42"/>
      <c r="C693" s="43"/>
      <c r="D693" s="43"/>
      <c r="E693" s="43"/>
      <c r="F693" s="4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42"/>
      <c r="B694" s="42"/>
      <c r="C694" s="43"/>
      <c r="D694" s="43"/>
      <c r="E694" s="43"/>
      <c r="F694" s="4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42"/>
      <c r="B695" s="42"/>
      <c r="C695" s="43"/>
      <c r="D695" s="43"/>
      <c r="E695" s="43"/>
      <c r="F695" s="4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42"/>
      <c r="B696" s="42"/>
      <c r="C696" s="43"/>
      <c r="D696" s="43"/>
      <c r="E696" s="43"/>
      <c r="F696" s="4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42"/>
      <c r="B697" s="42"/>
      <c r="C697" s="43"/>
      <c r="D697" s="43"/>
      <c r="E697" s="43"/>
      <c r="F697" s="4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42"/>
      <c r="B698" s="42"/>
      <c r="C698" s="43"/>
      <c r="D698" s="43"/>
      <c r="E698" s="43"/>
      <c r="F698" s="4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42"/>
      <c r="B699" s="42"/>
      <c r="C699" s="43"/>
      <c r="D699" s="43"/>
      <c r="E699" s="43"/>
      <c r="F699" s="4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42"/>
      <c r="B700" s="42"/>
      <c r="C700" s="43"/>
      <c r="D700" s="43"/>
      <c r="E700" s="43"/>
      <c r="F700" s="4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42"/>
      <c r="B701" s="42"/>
      <c r="C701" s="43"/>
      <c r="D701" s="43"/>
      <c r="E701" s="43"/>
      <c r="F701" s="4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42"/>
      <c r="B702" s="42"/>
      <c r="C702" s="43"/>
      <c r="D702" s="43"/>
      <c r="E702" s="43"/>
      <c r="F702" s="4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42"/>
      <c r="B703" s="42"/>
      <c r="C703" s="43"/>
      <c r="D703" s="43"/>
      <c r="E703" s="43"/>
      <c r="F703" s="4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42"/>
      <c r="B704" s="42"/>
      <c r="C704" s="43"/>
      <c r="D704" s="43"/>
      <c r="E704" s="43"/>
      <c r="F704" s="4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42"/>
      <c r="B705" s="42"/>
      <c r="C705" s="43"/>
      <c r="D705" s="43"/>
      <c r="E705" s="43"/>
      <c r="F705" s="4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42"/>
      <c r="B706" s="42"/>
      <c r="C706" s="43"/>
      <c r="D706" s="43"/>
      <c r="E706" s="43"/>
      <c r="F706" s="4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42"/>
      <c r="B707" s="42"/>
      <c r="C707" s="43"/>
      <c r="D707" s="43"/>
      <c r="E707" s="43"/>
      <c r="F707" s="4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42"/>
      <c r="B708" s="42"/>
      <c r="C708" s="43"/>
      <c r="D708" s="43"/>
      <c r="E708" s="43"/>
      <c r="F708" s="4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42"/>
      <c r="B709" s="42"/>
      <c r="C709" s="43"/>
      <c r="D709" s="43"/>
      <c r="E709" s="43"/>
      <c r="F709" s="4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42"/>
      <c r="B710" s="42"/>
      <c r="C710" s="43"/>
      <c r="D710" s="43"/>
      <c r="E710" s="43"/>
      <c r="F710" s="4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42"/>
      <c r="B711" s="42"/>
      <c r="C711" s="43"/>
      <c r="D711" s="43"/>
      <c r="E711" s="43"/>
      <c r="F711" s="4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42"/>
      <c r="B712" s="42"/>
      <c r="C712" s="43"/>
      <c r="D712" s="43"/>
      <c r="E712" s="43"/>
      <c r="F712" s="4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42"/>
      <c r="B713" s="42"/>
      <c r="C713" s="43"/>
      <c r="D713" s="43"/>
      <c r="E713" s="43"/>
      <c r="F713" s="4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42"/>
      <c r="B714" s="42"/>
      <c r="C714" s="43"/>
      <c r="D714" s="43"/>
      <c r="E714" s="43"/>
      <c r="F714" s="4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42"/>
      <c r="B715" s="42"/>
      <c r="C715" s="43"/>
      <c r="D715" s="43"/>
      <c r="E715" s="43"/>
      <c r="F715" s="4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42"/>
      <c r="B716" s="42"/>
      <c r="C716" s="43"/>
      <c r="D716" s="43"/>
      <c r="E716" s="43"/>
      <c r="F716" s="4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42"/>
      <c r="B717" s="42"/>
      <c r="C717" s="43"/>
      <c r="D717" s="43"/>
      <c r="E717" s="43"/>
      <c r="F717" s="4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42"/>
      <c r="B718" s="42"/>
      <c r="C718" s="43"/>
      <c r="D718" s="43"/>
      <c r="E718" s="43"/>
      <c r="F718" s="4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42"/>
      <c r="B719" s="42"/>
      <c r="C719" s="43"/>
      <c r="D719" s="43"/>
      <c r="E719" s="43"/>
      <c r="F719" s="4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42"/>
      <c r="B720" s="42"/>
      <c r="C720" s="43"/>
      <c r="D720" s="43"/>
      <c r="E720" s="43"/>
      <c r="F720" s="4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42"/>
      <c r="B721" s="42"/>
      <c r="C721" s="43"/>
      <c r="D721" s="43"/>
      <c r="E721" s="43"/>
      <c r="F721" s="4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42"/>
      <c r="B722" s="42"/>
      <c r="C722" s="43"/>
      <c r="D722" s="43"/>
      <c r="E722" s="43"/>
      <c r="F722" s="4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42"/>
      <c r="B723" s="42"/>
      <c r="C723" s="43"/>
      <c r="D723" s="43"/>
      <c r="E723" s="43"/>
      <c r="F723" s="4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42"/>
      <c r="B724" s="42"/>
      <c r="C724" s="43"/>
      <c r="D724" s="43"/>
      <c r="E724" s="43"/>
      <c r="F724" s="4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42"/>
      <c r="B725" s="42"/>
      <c r="C725" s="43"/>
      <c r="D725" s="43"/>
      <c r="E725" s="43"/>
      <c r="F725" s="4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42"/>
      <c r="B726" s="42"/>
      <c r="C726" s="43"/>
      <c r="D726" s="43"/>
      <c r="E726" s="43"/>
      <c r="F726" s="4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42"/>
      <c r="B727" s="42"/>
      <c r="C727" s="43"/>
      <c r="D727" s="43"/>
      <c r="E727" s="43"/>
      <c r="F727" s="4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42"/>
      <c r="B728" s="42"/>
      <c r="C728" s="43"/>
      <c r="D728" s="43"/>
      <c r="E728" s="43"/>
      <c r="F728" s="4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42"/>
      <c r="B729" s="42"/>
      <c r="C729" s="43"/>
      <c r="D729" s="43"/>
      <c r="E729" s="43"/>
      <c r="F729" s="4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42"/>
      <c r="B730" s="42"/>
      <c r="C730" s="43"/>
      <c r="D730" s="43"/>
      <c r="E730" s="43"/>
      <c r="F730" s="4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42"/>
      <c r="B731" s="42"/>
      <c r="C731" s="43"/>
      <c r="D731" s="43"/>
      <c r="E731" s="43"/>
      <c r="F731" s="4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42"/>
      <c r="B732" s="42"/>
      <c r="C732" s="43"/>
      <c r="D732" s="43"/>
      <c r="E732" s="43"/>
      <c r="F732" s="4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42"/>
      <c r="B733" s="42"/>
      <c r="C733" s="43"/>
      <c r="D733" s="43"/>
      <c r="E733" s="43"/>
      <c r="F733" s="4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42"/>
      <c r="B734" s="42"/>
      <c r="C734" s="43"/>
      <c r="D734" s="43"/>
      <c r="E734" s="43"/>
      <c r="F734" s="4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42"/>
      <c r="B735" s="42"/>
      <c r="C735" s="43"/>
      <c r="D735" s="43"/>
      <c r="E735" s="43"/>
      <c r="F735" s="4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42"/>
      <c r="B736" s="42"/>
      <c r="C736" s="43"/>
      <c r="D736" s="43"/>
      <c r="E736" s="43"/>
      <c r="F736" s="4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42"/>
      <c r="B737" s="42"/>
      <c r="C737" s="43"/>
      <c r="D737" s="43"/>
      <c r="E737" s="43"/>
      <c r="F737" s="4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42"/>
      <c r="B738" s="42"/>
      <c r="C738" s="43"/>
      <c r="D738" s="43"/>
      <c r="E738" s="43"/>
      <c r="F738" s="4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42"/>
      <c r="B739" s="42"/>
      <c r="C739" s="43"/>
      <c r="D739" s="43"/>
      <c r="E739" s="43"/>
      <c r="F739" s="4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42"/>
      <c r="B740" s="42"/>
      <c r="C740" s="43"/>
      <c r="D740" s="43"/>
      <c r="E740" s="43"/>
      <c r="F740" s="4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42"/>
      <c r="B741" s="42"/>
      <c r="C741" s="43"/>
      <c r="D741" s="43"/>
      <c r="E741" s="43"/>
      <c r="F741" s="4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42"/>
      <c r="B742" s="42"/>
      <c r="C742" s="43"/>
      <c r="D742" s="43"/>
      <c r="E742" s="43"/>
      <c r="F742" s="4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42"/>
      <c r="B743" s="42"/>
      <c r="C743" s="43"/>
      <c r="D743" s="43"/>
      <c r="E743" s="43"/>
      <c r="F743" s="4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42"/>
      <c r="B744" s="42"/>
      <c r="C744" s="43"/>
      <c r="D744" s="43"/>
      <c r="E744" s="43"/>
      <c r="F744" s="4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42"/>
      <c r="B745" s="42"/>
      <c r="C745" s="43"/>
      <c r="D745" s="43"/>
      <c r="E745" s="43"/>
      <c r="F745" s="4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42"/>
      <c r="B746" s="42"/>
      <c r="C746" s="43"/>
      <c r="D746" s="43"/>
      <c r="E746" s="43"/>
      <c r="F746" s="4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42"/>
      <c r="B747" s="42"/>
      <c r="C747" s="43"/>
      <c r="D747" s="43"/>
      <c r="E747" s="43"/>
      <c r="F747" s="4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42"/>
      <c r="B748" s="42"/>
      <c r="C748" s="43"/>
      <c r="D748" s="43"/>
      <c r="E748" s="43"/>
      <c r="F748" s="4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42"/>
      <c r="B749" s="42"/>
      <c r="C749" s="43"/>
      <c r="D749" s="43"/>
      <c r="E749" s="43"/>
      <c r="F749" s="4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42"/>
      <c r="B750" s="42"/>
      <c r="C750" s="43"/>
      <c r="D750" s="43"/>
      <c r="E750" s="43"/>
      <c r="F750" s="4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42"/>
      <c r="B751" s="42"/>
      <c r="C751" s="43"/>
      <c r="D751" s="43"/>
      <c r="E751" s="43"/>
      <c r="F751" s="4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42"/>
      <c r="B752" s="42"/>
      <c r="C752" s="43"/>
      <c r="D752" s="43"/>
      <c r="E752" s="43"/>
      <c r="F752" s="4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42"/>
      <c r="B753" s="42"/>
      <c r="C753" s="43"/>
      <c r="D753" s="43"/>
      <c r="E753" s="43"/>
      <c r="F753" s="4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42"/>
      <c r="B754" s="42"/>
      <c r="C754" s="43"/>
      <c r="D754" s="43"/>
      <c r="E754" s="43"/>
      <c r="F754" s="4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42"/>
      <c r="B755" s="42"/>
      <c r="C755" s="43"/>
      <c r="D755" s="43"/>
      <c r="E755" s="43"/>
      <c r="F755" s="4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42"/>
      <c r="B756" s="42"/>
      <c r="C756" s="43"/>
      <c r="D756" s="43"/>
      <c r="E756" s="43"/>
      <c r="F756" s="4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42"/>
      <c r="B757" s="42"/>
      <c r="C757" s="43"/>
      <c r="D757" s="43"/>
      <c r="E757" s="43"/>
      <c r="F757" s="4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42"/>
      <c r="B758" s="42"/>
      <c r="C758" s="43"/>
      <c r="D758" s="43"/>
      <c r="E758" s="43"/>
      <c r="F758" s="4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42"/>
      <c r="B759" s="42"/>
      <c r="C759" s="43"/>
      <c r="D759" s="43"/>
      <c r="E759" s="43"/>
      <c r="F759" s="4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42"/>
      <c r="B760" s="42"/>
      <c r="C760" s="43"/>
      <c r="D760" s="43"/>
      <c r="E760" s="43"/>
      <c r="F760" s="4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42"/>
      <c r="B761" s="42"/>
      <c r="C761" s="43"/>
      <c r="D761" s="43"/>
      <c r="E761" s="43"/>
      <c r="F761" s="4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42"/>
      <c r="B762" s="42"/>
      <c r="C762" s="43"/>
      <c r="D762" s="43"/>
      <c r="E762" s="43"/>
      <c r="F762" s="4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42"/>
      <c r="B763" s="42"/>
      <c r="C763" s="43"/>
      <c r="D763" s="43"/>
      <c r="E763" s="43"/>
      <c r="F763" s="4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42"/>
      <c r="B764" s="42"/>
      <c r="C764" s="43"/>
      <c r="D764" s="43"/>
      <c r="E764" s="43"/>
      <c r="F764" s="4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42"/>
      <c r="B765" s="42"/>
      <c r="C765" s="43"/>
      <c r="D765" s="43"/>
      <c r="E765" s="43"/>
      <c r="F765" s="4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42"/>
      <c r="B766" s="42"/>
      <c r="C766" s="43"/>
      <c r="D766" s="43"/>
      <c r="E766" s="43"/>
      <c r="F766" s="4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42"/>
      <c r="B767" s="42"/>
      <c r="C767" s="43"/>
      <c r="D767" s="43"/>
      <c r="E767" s="43"/>
      <c r="F767" s="4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42"/>
      <c r="B768" s="42"/>
      <c r="C768" s="43"/>
      <c r="D768" s="43"/>
      <c r="E768" s="43"/>
      <c r="F768" s="4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42"/>
      <c r="B769" s="42"/>
      <c r="C769" s="43"/>
      <c r="D769" s="43"/>
      <c r="E769" s="43"/>
      <c r="F769" s="4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42"/>
      <c r="B770" s="42"/>
      <c r="C770" s="43"/>
      <c r="D770" s="43"/>
      <c r="E770" s="43"/>
      <c r="F770" s="4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42"/>
      <c r="B771" s="42"/>
      <c r="C771" s="43"/>
      <c r="D771" s="43"/>
      <c r="E771" s="43"/>
      <c r="F771" s="4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42"/>
      <c r="B772" s="42"/>
      <c r="C772" s="43"/>
      <c r="D772" s="43"/>
      <c r="E772" s="43"/>
      <c r="F772" s="4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42"/>
      <c r="B773" s="42"/>
      <c r="C773" s="43"/>
      <c r="D773" s="43"/>
      <c r="E773" s="43"/>
      <c r="F773" s="4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42"/>
      <c r="B774" s="42"/>
      <c r="C774" s="43"/>
      <c r="D774" s="43"/>
      <c r="E774" s="43"/>
      <c r="F774" s="4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42"/>
      <c r="B775" s="42"/>
      <c r="C775" s="43"/>
      <c r="D775" s="43"/>
      <c r="E775" s="43"/>
      <c r="F775" s="4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42"/>
      <c r="B776" s="42"/>
      <c r="C776" s="43"/>
      <c r="D776" s="43"/>
      <c r="E776" s="43"/>
      <c r="F776" s="4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42"/>
      <c r="B777" s="42"/>
      <c r="C777" s="43"/>
      <c r="D777" s="43"/>
      <c r="E777" s="43"/>
      <c r="F777" s="4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42"/>
      <c r="B778" s="42"/>
      <c r="C778" s="43"/>
      <c r="D778" s="43"/>
      <c r="E778" s="43"/>
      <c r="F778" s="4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42"/>
      <c r="B779" s="42"/>
      <c r="C779" s="43"/>
      <c r="D779" s="43"/>
      <c r="E779" s="43"/>
      <c r="F779" s="4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42"/>
      <c r="B780" s="42"/>
      <c r="C780" s="43"/>
      <c r="D780" s="43"/>
      <c r="E780" s="43"/>
      <c r="F780" s="4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42"/>
      <c r="B781" s="42"/>
      <c r="C781" s="43"/>
      <c r="D781" s="43"/>
      <c r="E781" s="43"/>
      <c r="F781" s="4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42"/>
      <c r="B782" s="42"/>
      <c r="C782" s="43"/>
      <c r="D782" s="43"/>
      <c r="E782" s="43"/>
      <c r="F782" s="4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42"/>
      <c r="B783" s="42"/>
      <c r="C783" s="43"/>
      <c r="D783" s="43"/>
      <c r="E783" s="43"/>
      <c r="F783" s="4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42"/>
      <c r="B784" s="42"/>
      <c r="C784" s="43"/>
      <c r="D784" s="43"/>
      <c r="E784" s="43"/>
      <c r="F784" s="4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42"/>
      <c r="B785" s="42"/>
      <c r="C785" s="43"/>
      <c r="D785" s="43"/>
      <c r="E785" s="43"/>
      <c r="F785" s="4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42"/>
      <c r="B786" s="42"/>
      <c r="C786" s="43"/>
      <c r="D786" s="43"/>
      <c r="E786" s="43"/>
      <c r="F786" s="4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42"/>
      <c r="B787" s="42"/>
      <c r="C787" s="43"/>
      <c r="D787" s="43"/>
      <c r="E787" s="43"/>
      <c r="F787" s="4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42"/>
      <c r="B788" s="42"/>
      <c r="C788" s="43"/>
      <c r="D788" s="43"/>
      <c r="E788" s="43"/>
      <c r="F788" s="4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42"/>
      <c r="B789" s="42"/>
      <c r="C789" s="43"/>
      <c r="D789" s="43"/>
      <c r="E789" s="43"/>
      <c r="F789" s="4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42"/>
      <c r="B790" s="42"/>
      <c r="C790" s="43"/>
      <c r="D790" s="43"/>
      <c r="E790" s="43"/>
      <c r="F790" s="4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42"/>
      <c r="B791" s="42"/>
      <c r="C791" s="43"/>
      <c r="D791" s="43"/>
      <c r="E791" s="43"/>
      <c r="F791" s="4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42"/>
      <c r="B792" s="42"/>
      <c r="C792" s="43"/>
      <c r="D792" s="43"/>
      <c r="E792" s="43"/>
      <c r="F792" s="4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42"/>
      <c r="B793" s="42"/>
      <c r="C793" s="43"/>
      <c r="D793" s="43"/>
      <c r="E793" s="43"/>
      <c r="F793" s="4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42"/>
      <c r="B794" s="42"/>
      <c r="C794" s="43"/>
      <c r="D794" s="43"/>
      <c r="E794" s="43"/>
      <c r="F794" s="4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42"/>
      <c r="B795" s="42"/>
      <c r="C795" s="43"/>
      <c r="D795" s="43"/>
      <c r="E795" s="43"/>
      <c r="F795" s="4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42"/>
      <c r="B796" s="42"/>
      <c r="C796" s="43"/>
      <c r="D796" s="43"/>
      <c r="E796" s="43"/>
      <c r="F796" s="4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42"/>
      <c r="B797" s="42"/>
      <c r="C797" s="43"/>
      <c r="D797" s="43"/>
      <c r="E797" s="43"/>
      <c r="F797" s="4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42"/>
      <c r="B798" s="42"/>
      <c r="C798" s="43"/>
      <c r="D798" s="43"/>
      <c r="E798" s="43"/>
      <c r="F798" s="4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42"/>
      <c r="B799" s="42"/>
      <c r="C799" s="43"/>
      <c r="D799" s="43"/>
      <c r="E799" s="43"/>
      <c r="F799" s="4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42"/>
      <c r="B800" s="42"/>
      <c r="C800" s="43"/>
      <c r="D800" s="43"/>
      <c r="E800" s="43"/>
      <c r="F800" s="4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42"/>
      <c r="B801" s="42"/>
      <c r="C801" s="43"/>
      <c r="D801" s="43"/>
      <c r="E801" s="43"/>
      <c r="F801" s="4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42"/>
      <c r="B802" s="42"/>
      <c r="C802" s="43"/>
      <c r="D802" s="43"/>
      <c r="E802" s="43"/>
      <c r="F802" s="4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42"/>
      <c r="B803" s="42"/>
      <c r="C803" s="43"/>
      <c r="D803" s="43"/>
      <c r="E803" s="43"/>
      <c r="F803" s="4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42"/>
      <c r="B804" s="42"/>
      <c r="C804" s="43"/>
      <c r="D804" s="43"/>
      <c r="E804" s="43"/>
      <c r="F804" s="4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42"/>
      <c r="B805" s="42"/>
      <c r="C805" s="43"/>
      <c r="D805" s="43"/>
      <c r="E805" s="43"/>
      <c r="F805" s="4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42"/>
      <c r="B806" s="42"/>
      <c r="C806" s="43"/>
      <c r="D806" s="43"/>
      <c r="E806" s="43"/>
      <c r="F806" s="4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42"/>
      <c r="B807" s="42"/>
      <c r="C807" s="43"/>
      <c r="D807" s="43"/>
      <c r="E807" s="43"/>
      <c r="F807" s="4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42"/>
      <c r="B808" s="42"/>
      <c r="C808" s="43"/>
      <c r="D808" s="43"/>
      <c r="E808" s="43"/>
      <c r="F808" s="4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42"/>
      <c r="B809" s="42"/>
      <c r="C809" s="43"/>
      <c r="D809" s="43"/>
      <c r="E809" s="43"/>
      <c r="F809" s="4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42"/>
      <c r="B810" s="42"/>
      <c r="C810" s="43"/>
      <c r="D810" s="43"/>
      <c r="E810" s="43"/>
      <c r="F810" s="4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42"/>
      <c r="B811" s="42"/>
      <c r="C811" s="43"/>
      <c r="D811" s="43"/>
      <c r="E811" s="43"/>
      <c r="F811" s="4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42"/>
      <c r="B812" s="42"/>
      <c r="C812" s="43"/>
      <c r="D812" s="43"/>
      <c r="E812" s="43"/>
      <c r="F812" s="4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42"/>
      <c r="B813" s="42"/>
      <c r="C813" s="43"/>
      <c r="D813" s="43"/>
      <c r="E813" s="43"/>
      <c r="F813" s="4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42"/>
      <c r="B814" s="42"/>
      <c r="C814" s="43"/>
      <c r="D814" s="43"/>
      <c r="E814" s="43"/>
      <c r="F814" s="4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42"/>
      <c r="B815" s="42"/>
      <c r="C815" s="43"/>
      <c r="D815" s="43"/>
      <c r="E815" s="43"/>
      <c r="F815" s="4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42"/>
      <c r="B816" s="42"/>
      <c r="C816" s="43"/>
      <c r="D816" s="43"/>
      <c r="E816" s="43"/>
      <c r="F816" s="4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42"/>
      <c r="B817" s="42"/>
      <c r="C817" s="43"/>
      <c r="D817" s="43"/>
      <c r="E817" s="43"/>
      <c r="F817" s="4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42"/>
      <c r="B818" s="42"/>
      <c r="C818" s="43"/>
      <c r="D818" s="43"/>
      <c r="E818" s="43"/>
      <c r="F818" s="4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42"/>
      <c r="B819" s="42"/>
      <c r="C819" s="43"/>
      <c r="D819" s="43"/>
      <c r="E819" s="43"/>
      <c r="F819" s="4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42"/>
      <c r="B820" s="42"/>
      <c r="C820" s="43"/>
      <c r="D820" s="43"/>
      <c r="E820" s="43"/>
      <c r="F820" s="4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42"/>
      <c r="B821" s="42"/>
      <c r="C821" s="43"/>
      <c r="D821" s="43"/>
      <c r="E821" s="43"/>
      <c r="F821" s="4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42"/>
      <c r="B822" s="42"/>
      <c r="C822" s="43"/>
      <c r="D822" s="43"/>
      <c r="E822" s="43"/>
      <c r="F822" s="4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42"/>
      <c r="B823" s="42"/>
      <c r="C823" s="43"/>
      <c r="D823" s="43"/>
      <c r="E823" s="43"/>
      <c r="F823" s="4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42"/>
      <c r="B824" s="42"/>
      <c r="C824" s="43"/>
      <c r="D824" s="43"/>
      <c r="E824" s="43"/>
      <c r="F824" s="4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42"/>
      <c r="B825" s="42"/>
      <c r="C825" s="43"/>
      <c r="D825" s="43"/>
      <c r="E825" s="43"/>
      <c r="F825" s="4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42"/>
      <c r="B826" s="42"/>
      <c r="C826" s="43"/>
      <c r="D826" s="43"/>
      <c r="E826" s="43"/>
      <c r="F826" s="4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42"/>
      <c r="B827" s="42"/>
      <c r="C827" s="43"/>
      <c r="D827" s="43"/>
      <c r="E827" s="43"/>
      <c r="F827" s="4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42"/>
      <c r="B828" s="42"/>
      <c r="C828" s="43"/>
      <c r="D828" s="43"/>
      <c r="E828" s="43"/>
      <c r="F828" s="4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42"/>
      <c r="B829" s="42"/>
      <c r="C829" s="43"/>
      <c r="D829" s="43"/>
      <c r="E829" s="43"/>
      <c r="F829" s="4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42"/>
      <c r="B830" s="42"/>
      <c r="C830" s="43"/>
      <c r="D830" s="43"/>
      <c r="E830" s="43"/>
      <c r="F830" s="4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42"/>
      <c r="B831" s="42"/>
      <c r="C831" s="43"/>
      <c r="D831" s="43"/>
      <c r="E831" s="43"/>
      <c r="F831" s="4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42"/>
      <c r="B832" s="42"/>
      <c r="C832" s="43"/>
      <c r="D832" s="43"/>
      <c r="E832" s="43"/>
      <c r="F832" s="4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42"/>
      <c r="B833" s="42"/>
      <c r="C833" s="43"/>
      <c r="D833" s="43"/>
      <c r="E833" s="43"/>
      <c r="F833" s="4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42"/>
      <c r="B834" s="42"/>
      <c r="C834" s="43"/>
      <c r="D834" s="43"/>
      <c r="E834" s="43"/>
      <c r="F834" s="4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42"/>
      <c r="B835" s="42"/>
      <c r="C835" s="43"/>
      <c r="D835" s="43"/>
      <c r="E835" s="43"/>
      <c r="F835" s="4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42"/>
      <c r="B836" s="42"/>
      <c r="C836" s="43"/>
      <c r="D836" s="43"/>
      <c r="E836" s="43"/>
      <c r="F836" s="4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42"/>
      <c r="B837" s="42"/>
      <c r="C837" s="43"/>
      <c r="D837" s="43"/>
      <c r="E837" s="43"/>
      <c r="F837" s="4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42"/>
      <c r="B838" s="42"/>
      <c r="C838" s="43"/>
      <c r="D838" s="43"/>
      <c r="E838" s="43"/>
      <c r="F838" s="4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42"/>
      <c r="B839" s="42"/>
      <c r="C839" s="43"/>
      <c r="D839" s="43"/>
      <c r="E839" s="43"/>
      <c r="F839" s="4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42"/>
      <c r="B840" s="42"/>
      <c r="C840" s="43"/>
      <c r="D840" s="43"/>
      <c r="E840" s="43"/>
      <c r="F840" s="4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42"/>
      <c r="B841" s="42"/>
      <c r="C841" s="43"/>
      <c r="D841" s="43"/>
      <c r="E841" s="43"/>
      <c r="F841" s="4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42"/>
      <c r="B842" s="42"/>
      <c r="C842" s="43"/>
      <c r="D842" s="43"/>
      <c r="E842" s="43"/>
      <c r="F842" s="4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42"/>
      <c r="B843" s="42"/>
      <c r="C843" s="43"/>
      <c r="D843" s="43"/>
      <c r="E843" s="43"/>
      <c r="F843" s="4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42"/>
      <c r="B844" s="42"/>
      <c r="C844" s="43"/>
      <c r="D844" s="43"/>
      <c r="E844" s="43"/>
      <c r="F844" s="4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42"/>
      <c r="B845" s="42"/>
      <c r="C845" s="43"/>
      <c r="D845" s="43"/>
      <c r="E845" s="43"/>
      <c r="F845" s="4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42"/>
      <c r="B846" s="42"/>
      <c r="C846" s="43"/>
      <c r="D846" s="43"/>
      <c r="E846" s="43"/>
      <c r="F846" s="4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42"/>
      <c r="B847" s="42"/>
      <c r="C847" s="43"/>
      <c r="D847" s="43"/>
      <c r="E847" s="43"/>
      <c r="F847" s="4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42"/>
      <c r="B848" s="42"/>
      <c r="C848" s="43"/>
      <c r="D848" s="43"/>
      <c r="E848" s="43"/>
      <c r="F848" s="4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42"/>
      <c r="B849" s="42"/>
      <c r="C849" s="43"/>
      <c r="D849" s="43"/>
      <c r="E849" s="43"/>
      <c r="F849" s="4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42"/>
      <c r="B850" s="42"/>
      <c r="C850" s="43"/>
      <c r="D850" s="43"/>
      <c r="E850" s="43"/>
      <c r="F850" s="4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42"/>
      <c r="B851" s="42"/>
      <c r="C851" s="43"/>
      <c r="D851" s="43"/>
      <c r="E851" s="43"/>
      <c r="F851" s="4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42"/>
      <c r="B852" s="42"/>
      <c r="C852" s="43"/>
      <c r="D852" s="43"/>
      <c r="E852" s="43"/>
      <c r="F852" s="4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42"/>
      <c r="B853" s="42"/>
      <c r="C853" s="43"/>
      <c r="D853" s="43"/>
      <c r="E853" s="43"/>
      <c r="F853" s="4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42"/>
      <c r="B854" s="42"/>
      <c r="C854" s="43"/>
      <c r="D854" s="43"/>
      <c r="E854" s="43"/>
      <c r="F854" s="4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42"/>
      <c r="B855" s="42"/>
      <c r="C855" s="43"/>
      <c r="D855" s="43"/>
      <c r="E855" s="43"/>
      <c r="F855" s="4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42"/>
      <c r="B856" s="42"/>
      <c r="C856" s="43"/>
      <c r="D856" s="43"/>
      <c r="E856" s="43"/>
      <c r="F856" s="4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42"/>
      <c r="B857" s="42"/>
      <c r="C857" s="43"/>
      <c r="D857" s="43"/>
      <c r="E857" s="43"/>
      <c r="F857" s="4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42"/>
      <c r="B858" s="42"/>
      <c r="C858" s="43"/>
      <c r="D858" s="43"/>
      <c r="E858" s="43"/>
      <c r="F858" s="4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42"/>
      <c r="B859" s="42"/>
      <c r="C859" s="43"/>
      <c r="D859" s="43"/>
      <c r="E859" s="43"/>
      <c r="F859" s="4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42"/>
      <c r="B860" s="42"/>
      <c r="C860" s="43"/>
      <c r="D860" s="43"/>
      <c r="E860" s="43"/>
      <c r="F860" s="4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42"/>
      <c r="B861" s="42"/>
      <c r="C861" s="43"/>
      <c r="D861" s="43"/>
      <c r="E861" s="43"/>
      <c r="F861" s="4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42"/>
      <c r="B862" s="42"/>
      <c r="C862" s="43"/>
      <c r="D862" s="43"/>
      <c r="E862" s="43"/>
      <c r="F862" s="4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42"/>
      <c r="B863" s="42"/>
      <c r="C863" s="43"/>
      <c r="D863" s="43"/>
      <c r="E863" s="43"/>
      <c r="F863" s="4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42"/>
      <c r="B864" s="42"/>
      <c r="C864" s="43"/>
      <c r="D864" s="43"/>
      <c r="E864" s="43"/>
      <c r="F864" s="4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42"/>
      <c r="B865" s="42"/>
      <c r="C865" s="43"/>
      <c r="D865" s="43"/>
      <c r="E865" s="43"/>
      <c r="F865" s="4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42"/>
      <c r="B866" s="42"/>
      <c r="C866" s="43"/>
      <c r="D866" s="43"/>
      <c r="E866" s="43"/>
      <c r="F866" s="4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42"/>
      <c r="B867" s="42"/>
      <c r="C867" s="43"/>
      <c r="D867" s="43"/>
      <c r="E867" s="43"/>
      <c r="F867" s="4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42"/>
      <c r="B868" s="42"/>
      <c r="C868" s="43"/>
      <c r="D868" s="43"/>
      <c r="E868" s="43"/>
      <c r="F868" s="4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42"/>
      <c r="B869" s="42"/>
      <c r="C869" s="43"/>
      <c r="D869" s="43"/>
      <c r="E869" s="43"/>
      <c r="F869" s="4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42"/>
      <c r="B870" s="42"/>
      <c r="C870" s="43"/>
      <c r="D870" s="43"/>
      <c r="E870" s="43"/>
      <c r="F870" s="4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42"/>
      <c r="B871" s="42"/>
      <c r="C871" s="43"/>
      <c r="D871" s="43"/>
      <c r="E871" s="43"/>
      <c r="F871" s="4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42"/>
      <c r="B872" s="42"/>
      <c r="C872" s="43"/>
      <c r="D872" s="43"/>
      <c r="E872" s="43"/>
      <c r="F872" s="4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42"/>
      <c r="B873" s="42"/>
      <c r="C873" s="43"/>
      <c r="D873" s="43"/>
      <c r="E873" s="43"/>
      <c r="F873" s="4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42"/>
      <c r="B874" s="42"/>
      <c r="C874" s="43"/>
      <c r="D874" s="43"/>
      <c r="E874" s="43"/>
      <c r="F874" s="4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42"/>
      <c r="B875" s="42"/>
      <c r="C875" s="43"/>
      <c r="D875" s="43"/>
      <c r="E875" s="43"/>
      <c r="F875" s="4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42"/>
      <c r="B876" s="42"/>
      <c r="C876" s="43"/>
      <c r="D876" s="43"/>
      <c r="E876" s="43"/>
      <c r="F876" s="4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42"/>
      <c r="B877" s="42"/>
      <c r="C877" s="43"/>
      <c r="D877" s="43"/>
      <c r="E877" s="43"/>
      <c r="F877" s="4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42"/>
      <c r="B878" s="42"/>
      <c r="C878" s="43"/>
      <c r="D878" s="43"/>
      <c r="E878" s="43"/>
      <c r="F878" s="4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42"/>
      <c r="B879" s="42"/>
      <c r="C879" s="43"/>
      <c r="D879" s="43"/>
      <c r="E879" s="43"/>
      <c r="F879" s="4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42"/>
      <c r="B880" s="42"/>
      <c r="C880" s="43"/>
      <c r="D880" s="43"/>
      <c r="E880" s="43"/>
      <c r="F880" s="4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42"/>
      <c r="B881" s="42"/>
      <c r="C881" s="43"/>
      <c r="D881" s="43"/>
      <c r="E881" s="43"/>
      <c r="F881" s="4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42"/>
      <c r="B882" s="42"/>
      <c r="C882" s="43"/>
      <c r="D882" s="43"/>
      <c r="E882" s="43"/>
      <c r="F882" s="4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42"/>
      <c r="B883" s="42"/>
      <c r="C883" s="43"/>
      <c r="D883" s="43"/>
      <c r="E883" s="43"/>
      <c r="F883" s="4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42"/>
      <c r="B884" s="42"/>
      <c r="C884" s="43"/>
      <c r="D884" s="43"/>
      <c r="E884" s="43"/>
      <c r="F884" s="4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42"/>
      <c r="B885" s="42"/>
      <c r="C885" s="43"/>
      <c r="D885" s="43"/>
      <c r="E885" s="43"/>
      <c r="F885" s="4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42"/>
      <c r="B886" s="42"/>
      <c r="C886" s="43"/>
      <c r="D886" s="43"/>
      <c r="E886" s="43"/>
      <c r="F886" s="4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42"/>
      <c r="B887" s="42"/>
      <c r="C887" s="43"/>
      <c r="D887" s="43"/>
      <c r="E887" s="43"/>
      <c r="F887" s="4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42"/>
      <c r="B888" s="42"/>
      <c r="C888" s="43"/>
      <c r="D888" s="43"/>
      <c r="E888" s="43"/>
      <c r="F888" s="4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42"/>
      <c r="B889" s="42"/>
      <c r="C889" s="43"/>
      <c r="D889" s="43"/>
      <c r="E889" s="43"/>
      <c r="F889" s="4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42"/>
      <c r="B890" s="42"/>
      <c r="C890" s="43"/>
      <c r="D890" s="43"/>
      <c r="E890" s="43"/>
      <c r="F890" s="4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42"/>
      <c r="B891" s="42"/>
      <c r="C891" s="43"/>
      <c r="D891" s="43"/>
      <c r="E891" s="43"/>
      <c r="F891" s="4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42"/>
      <c r="B892" s="42"/>
      <c r="C892" s="43"/>
      <c r="D892" s="43"/>
      <c r="E892" s="43"/>
      <c r="F892" s="4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42"/>
      <c r="B893" s="42"/>
      <c r="C893" s="43"/>
      <c r="D893" s="43"/>
      <c r="E893" s="43"/>
      <c r="F893" s="4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42"/>
      <c r="B894" s="42"/>
      <c r="C894" s="43"/>
      <c r="D894" s="43"/>
      <c r="E894" s="43"/>
      <c r="F894" s="4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42"/>
      <c r="B895" s="42"/>
      <c r="C895" s="43"/>
      <c r="D895" s="43"/>
      <c r="E895" s="43"/>
      <c r="F895" s="4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42"/>
      <c r="B896" s="42"/>
      <c r="C896" s="43"/>
      <c r="D896" s="43"/>
      <c r="E896" s="43"/>
      <c r="F896" s="4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42"/>
      <c r="B897" s="42"/>
      <c r="C897" s="43"/>
      <c r="D897" s="43"/>
      <c r="E897" s="43"/>
      <c r="F897" s="4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42"/>
      <c r="B898" s="42"/>
      <c r="C898" s="43"/>
      <c r="D898" s="43"/>
      <c r="E898" s="43"/>
      <c r="F898" s="4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42"/>
      <c r="B899" s="42"/>
      <c r="C899" s="43"/>
      <c r="D899" s="43"/>
      <c r="E899" s="43"/>
      <c r="F899" s="4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42"/>
      <c r="B900" s="42"/>
      <c r="C900" s="43"/>
      <c r="D900" s="43"/>
      <c r="E900" s="43"/>
      <c r="F900" s="4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42"/>
      <c r="B901" s="42"/>
      <c r="C901" s="43"/>
      <c r="D901" s="43"/>
      <c r="E901" s="43"/>
      <c r="F901" s="4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42"/>
      <c r="B902" s="42"/>
      <c r="C902" s="43"/>
      <c r="D902" s="43"/>
      <c r="E902" s="43"/>
      <c r="F902" s="4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42"/>
      <c r="B903" s="42"/>
      <c r="C903" s="43"/>
      <c r="D903" s="43"/>
      <c r="E903" s="43"/>
      <c r="F903" s="4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42"/>
      <c r="B904" s="42"/>
      <c r="C904" s="43"/>
      <c r="D904" s="43"/>
      <c r="E904" s="43"/>
      <c r="F904" s="4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42"/>
      <c r="B905" s="42"/>
      <c r="C905" s="43"/>
      <c r="D905" s="43"/>
      <c r="E905" s="43"/>
      <c r="F905" s="4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42"/>
      <c r="B906" s="42"/>
      <c r="C906" s="43"/>
      <c r="D906" s="43"/>
      <c r="E906" s="43"/>
      <c r="F906" s="4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42"/>
      <c r="B907" s="42"/>
      <c r="C907" s="43"/>
      <c r="D907" s="43"/>
      <c r="E907" s="43"/>
      <c r="F907" s="4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42"/>
      <c r="B908" s="42"/>
      <c r="C908" s="43"/>
      <c r="D908" s="43"/>
      <c r="E908" s="43"/>
      <c r="F908" s="4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42"/>
      <c r="B909" s="42"/>
      <c r="C909" s="43"/>
      <c r="D909" s="43"/>
      <c r="E909" s="43"/>
      <c r="F909" s="4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42"/>
      <c r="B910" s="42"/>
      <c r="C910" s="43"/>
      <c r="D910" s="43"/>
      <c r="E910" s="43"/>
      <c r="F910" s="4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42"/>
      <c r="B911" s="42"/>
      <c r="C911" s="43"/>
      <c r="D911" s="43"/>
      <c r="E911" s="43"/>
      <c r="F911" s="4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42"/>
      <c r="B912" s="42"/>
      <c r="C912" s="43"/>
      <c r="D912" s="43"/>
      <c r="E912" s="43"/>
      <c r="F912" s="4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42"/>
      <c r="B913" s="42"/>
      <c r="C913" s="43"/>
      <c r="D913" s="43"/>
      <c r="E913" s="43"/>
      <c r="F913" s="4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42"/>
      <c r="B914" s="42"/>
      <c r="C914" s="43"/>
      <c r="D914" s="43"/>
      <c r="E914" s="43"/>
      <c r="F914" s="4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42"/>
      <c r="B915" s="42"/>
      <c r="C915" s="43"/>
      <c r="D915" s="43"/>
      <c r="E915" s="43"/>
      <c r="F915" s="4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42"/>
      <c r="B916" s="42"/>
      <c r="C916" s="43"/>
      <c r="D916" s="43"/>
      <c r="E916" s="43"/>
      <c r="F916" s="4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42"/>
      <c r="B917" s="42"/>
      <c r="C917" s="43"/>
      <c r="D917" s="43"/>
      <c r="E917" s="43"/>
      <c r="F917" s="4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42"/>
      <c r="B918" s="42"/>
      <c r="C918" s="43"/>
      <c r="D918" s="43"/>
      <c r="E918" s="43"/>
      <c r="F918" s="4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42"/>
      <c r="B919" s="42"/>
      <c r="C919" s="43"/>
      <c r="D919" s="43"/>
      <c r="E919" s="43"/>
      <c r="F919" s="4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42"/>
      <c r="B920" s="42"/>
      <c r="C920" s="43"/>
      <c r="D920" s="43"/>
      <c r="E920" s="43"/>
      <c r="F920" s="4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42"/>
      <c r="B921" s="42"/>
      <c r="C921" s="43"/>
      <c r="D921" s="43"/>
      <c r="E921" s="43"/>
      <c r="F921" s="4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42"/>
      <c r="B922" s="42"/>
      <c r="C922" s="43"/>
      <c r="D922" s="43"/>
      <c r="E922" s="43"/>
      <c r="F922" s="4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42"/>
      <c r="B923" s="42"/>
      <c r="C923" s="43"/>
      <c r="D923" s="43"/>
      <c r="E923" s="43"/>
      <c r="F923" s="4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42"/>
      <c r="B924" s="42"/>
      <c r="C924" s="43"/>
      <c r="D924" s="43"/>
      <c r="E924" s="43"/>
      <c r="F924" s="4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42"/>
      <c r="B925" s="42"/>
      <c r="C925" s="43"/>
      <c r="D925" s="43"/>
      <c r="E925" s="43"/>
      <c r="F925" s="4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42"/>
      <c r="B926" s="42"/>
      <c r="C926" s="43"/>
      <c r="D926" s="43"/>
      <c r="E926" s="43"/>
      <c r="F926" s="4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42"/>
      <c r="B927" s="42"/>
      <c r="C927" s="43"/>
      <c r="D927" s="43"/>
      <c r="E927" s="43"/>
      <c r="F927" s="4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42"/>
      <c r="B928" s="42"/>
      <c r="C928" s="43"/>
      <c r="D928" s="43"/>
      <c r="E928" s="43"/>
      <c r="F928" s="4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42"/>
      <c r="B929" s="42"/>
      <c r="C929" s="43"/>
      <c r="D929" s="43"/>
      <c r="E929" s="43"/>
      <c r="F929" s="4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42"/>
      <c r="B930" s="42"/>
      <c r="C930" s="43"/>
      <c r="D930" s="43"/>
      <c r="E930" s="43"/>
      <c r="F930" s="4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42"/>
      <c r="B931" s="42"/>
      <c r="C931" s="43"/>
      <c r="D931" s="43"/>
      <c r="E931" s="43"/>
      <c r="F931" s="4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42"/>
      <c r="B932" s="42"/>
      <c r="C932" s="43"/>
      <c r="D932" s="43"/>
      <c r="E932" s="43"/>
      <c r="F932" s="4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42"/>
      <c r="B933" s="42"/>
      <c r="C933" s="43"/>
      <c r="D933" s="43"/>
      <c r="E933" s="43"/>
      <c r="F933" s="4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42"/>
      <c r="B934" s="42"/>
      <c r="C934" s="43"/>
      <c r="D934" s="43"/>
      <c r="E934" s="43"/>
      <c r="F934" s="4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42"/>
      <c r="B935" s="42"/>
      <c r="C935" s="43"/>
      <c r="D935" s="43"/>
      <c r="E935" s="43"/>
      <c r="F935" s="4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42"/>
      <c r="B936" s="42"/>
      <c r="C936" s="43"/>
      <c r="D936" s="43"/>
      <c r="E936" s="43"/>
      <c r="F936" s="4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42"/>
      <c r="B937" s="42"/>
      <c r="C937" s="43"/>
      <c r="D937" s="43"/>
      <c r="E937" s="43"/>
      <c r="F937" s="4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42"/>
      <c r="B938" s="42"/>
      <c r="C938" s="43"/>
      <c r="D938" s="43"/>
      <c r="E938" s="43"/>
      <c r="F938" s="4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42"/>
      <c r="B939" s="42"/>
      <c r="C939" s="43"/>
      <c r="D939" s="43"/>
      <c r="E939" s="43"/>
      <c r="F939" s="4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42"/>
      <c r="B940" s="42"/>
      <c r="C940" s="43"/>
      <c r="D940" s="43"/>
      <c r="E940" s="43"/>
      <c r="F940" s="4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42"/>
      <c r="B941" s="42"/>
      <c r="C941" s="43"/>
      <c r="D941" s="43"/>
      <c r="E941" s="43"/>
      <c r="F941" s="4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42"/>
      <c r="B942" s="42"/>
      <c r="C942" s="43"/>
      <c r="D942" s="43"/>
      <c r="E942" s="43"/>
      <c r="F942" s="4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42"/>
      <c r="B943" s="42"/>
      <c r="C943" s="43"/>
      <c r="D943" s="43"/>
      <c r="E943" s="43"/>
      <c r="F943" s="4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42"/>
      <c r="B944" s="42"/>
      <c r="C944" s="43"/>
      <c r="D944" s="43"/>
      <c r="E944" s="43"/>
      <c r="F944" s="4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42"/>
      <c r="B945" s="42"/>
      <c r="C945" s="43"/>
      <c r="D945" s="43"/>
      <c r="E945" s="43"/>
      <c r="F945" s="4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42"/>
      <c r="B946" s="42"/>
      <c r="C946" s="43"/>
      <c r="D946" s="43"/>
      <c r="E946" s="43"/>
      <c r="F946" s="4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42"/>
      <c r="B947" s="42"/>
      <c r="C947" s="43"/>
      <c r="D947" s="43"/>
      <c r="E947" s="43"/>
      <c r="F947" s="4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42"/>
      <c r="B948" s="42"/>
      <c r="C948" s="43"/>
      <c r="D948" s="43"/>
      <c r="E948" s="43"/>
      <c r="F948" s="4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42"/>
      <c r="B949" s="42"/>
      <c r="C949" s="43"/>
      <c r="D949" s="43"/>
      <c r="E949" s="43"/>
      <c r="F949" s="4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42"/>
      <c r="B950" s="42"/>
      <c r="C950" s="43"/>
      <c r="D950" s="43"/>
      <c r="E950" s="43"/>
      <c r="F950" s="4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42"/>
      <c r="B951" s="42"/>
      <c r="C951" s="43"/>
      <c r="D951" s="43"/>
      <c r="E951" s="43"/>
      <c r="F951" s="4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42"/>
      <c r="B952" s="42"/>
      <c r="C952" s="43"/>
      <c r="D952" s="43"/>
      <c r="E952" s="43"/>
      <c r="F952" s="4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42"/>
      <c r="B953" s="42"/>
      <c r="C953" s="43"/>
      <c r="D953" s="43"/>
      <c r="E953" s="43"/>
      <c r="F953" s="4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42"/>
      <c r="B954" s="42"/>
      <c r="C954" s="43"/>
      <c r="D954" s="43"/>
      <c r="E954" s="43"/>
      <c r="F954" s="4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42"/>
      <c r="B955" s="42"/>
      <c r="C955" s="43"/>
      <c r="D955" s="43"/>
      <c r="E955" s="43"/>
      <c r="F955" s="4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42"/>
      <c r="B956" s="42"/>
      <c r="C956" s="43"/>
      <c r="D956" s="43"/>
      <c r="E956" s="43"/>
      <c r="F956" s="4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42"/>
      <c r="B957" s="42"/>
      <c r="C957" s="43"/>
      <c r="D957" s="43"/>
      <c r="E957" s="43"/>
      <c r="F957" s="4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42"/>
      <c r="B958" s="42"/>
      <c r="C958" s="43"/>
      <c r="D958" s="43"/>
      <c r="E958" s="43"/>
      <c r="F958" s="4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42"/>
      <c r="B959" s="42"/>
      <c r="C959" s="43"/>
      <c r="D959" s="43"/>
      <c r="E959" s="43"/>
      <c r="F959" s="4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42"/>
      <c r="B960" s="42"/>
      <c r="C960" s="43"/>
      <c r="D960" s="43"/>
      <c r="E960" s="43"/>
      <c r="F960" s="4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42"/>
      <c r="B961" s="42"/>
      <c r="C961" s="43"/>
      <c r="D961" s="43"/>
      <c r="E961" s="43"/>
      <c r="F961" s="4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42"/>
      <c r="B962" s="42"/>
      <c r="C962" s="43"/>
      <c r="D962" s="43"/>
      <c r="E962" s="43"/>
      <c r="F962" s="4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42"/>
      <c r="B963" s="42"/>
      <c r="C963" s="43"/>
      <c r="D963" s="43"/>
      <c r="E963" s="43"/>
      <c r="F963" s="4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42"/>
      <c r="B964" s="42"/>
      <c r="C964" s="43"/>
      <c r="D964" s="43"/>
      <c r="E964" s="43"/>
      <c r="F964" s="4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42"/>
      <c r="B965" s="42"/>
      <c r="C965" s="43"/>
      <c r="D965" s="43"/>
      <c r="E965" s="43"/>
      <c r="F965" s="4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42"/>
      <c r="B966" s="42"/>
      <c r="C966" s="43"/>
      <c r="D966" s="43"/>
      <c r="E966" s="43"/>
      <c r="F966" s="4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42"/>
      <c r="B967" s="42"/>
      <c r="C967" s="43"/>
      <c r="D967" s="43"/>
      <c r="E967" s="43"/>
      <c r="F967" s="4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42"/>
      <c r="B968" s="42"/>
      <c r="C968" s="43"/>
      <c r="D968" s="43"/>
      <c r="E968" s="43"/>
      <c r="F968" s="4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42"/>
      <c r="B969" s="42"/>
      <c r="C969" s="43"/>
      <c r="D969" s="43"/>
      <c r="E969" s="43"/>
      <c r="F969" s="4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42"/>
      <c r="B970" s="42"/>
      <c r="C970" s="43"/>
      <c r="D970" s="43"/>
      <c r="E970" s="43"/>
      <c r="F970" s="4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42"/>
      <c r="B971" s="42"/>
      <c r="C971" s="43"/>
      <c r="D971" s="43"/>
      <c r="E971" s="43"/>
      <c r="F971" s="4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42"/>
      <c r="B972" s="42"/>
      <c r="C972" s="43"/>
      <c r="D972" s="43"/>
      <c r="E972" s="43"/>
      <c r="F972" s="4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42"/>
      <c r="B973" s="42"/>
      <c r="C973" s="43"/>
      <c r="D973" s="43"/>
      <c r="E973" s="43"/>
      <c r="F973" s="4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42"/>
      <c r="B974" s="42"/>
      <c r="C974" s="43"/>
      <c r="D974" s="43"/>
      <c r="E974" s="43"/>
      <c r="F974" s="4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42"/>
      <c r="B975" s="42"/>
      <c r="C975" s="43"/>
      <c r="D975" s="43"/>
      <c r="E975" s="43"/>
      <c r="F975" s="4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42"/>
      <c r="B976" s="42"/>
      <c r="C976" s="43"/>
      <c r="D976" s="43"/>
      <c r="E976" s="43"/>
      <c r="F976" s="4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42"/>
      <c r="B977" s="42"/>
      <c r="C977" s="43"/>
      <c r="D977" s="43"/>
      <c r="E977" s="43"/>
      <c r="F977" s="4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42"/>
      <c r="B978" s="42"/>
      <c r="C978" s="43"/>
      <c r="D978" s="43"/>
      <c r="E978" s="43"/>
      <c r="F978" s="4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42"/>
      <c r="B979" s="42"/>
      <c r="C979" s="43"/>
      <c r="D979" s="43"/>
      <c r="E979" s="43"/>
      <c r="F979" s="4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42"/>
      <c r="B980" s="42"/>
      <c r="C980" s="43"/>
      <c r="D980" s="43"/>
      <c r="E980" s="43"/>
      <c r="F980" s="4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42"/>
      <c r="B981" s="42"/>
      <c r="C981" s="43"/>
      <c r="D981" s="43"/>
      <c r="E981" s="43"/>
      <c r="F981" s="4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42"/>
      <c r="B982" s="42"/>
      <c r="C982" s="43"/>
      <c r="D982" s="43"/>
      <c r="E982" s="43"/>
      <c r="F982" s="4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42"/>
      <c r="B983" s="42"/>
      <c r="C983" s="43"/>
      <c r="D983" s="43"/>
      <c r="E983" s="43"/>
      <c r="F983" s="4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42"/>
      <c r="B984" s="42"/>
      <c r="C984" s="43"/>
      <c r="D984" s="43"/>
      <c r="E984" s="43"/>
      <c r="F984" s="4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42"/>
      <c r="B985" s="42"/>
      <c r="C985" s="43"/>
      <c r="D985" s="43"/>
      <c r="E985" s="43"/>
      <c r="F985" s="4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42"/>
      <c r="B986" s="42"/>
      <c r="C986" s="43"/>
      <c r="D986" s="43"/>
      <c r="E986" s="43"/>
      <c r="F986" s="4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42"/>
      <c r="B987" s="42"/>
      <c r="C987" s="43"/>
      <c r="D987" s="43"/>
      <c r="E987" s="43"/>
      <c r="F987" s="4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42"/>
      <c r="B988" s="42"/>
      <c r="C988" s="43"/>
      <c r="D988" s="43"/>
      <c r="E988" s="43"/>
      <c r="F988" s="4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42"/>
      <c r="B989" s="42"/>
      <c r="C989" s="43"/>
      <c r="D989" s="43"/>
      <c r="E989" s="43"/>
      <c r="F989" s="4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42"/>
      <c r="B990" s="42"/>
      <c r="C990" s="43"/>
      <c r="D990" s="43"/>
      <c r="E990" s="43"/>
      <c r="F990" s="4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42"/>
      <c r="B991" s="42"/>
      <c r="C991" s="43"/>
      <c r="D991" s="43"/>
      <c r="E991" s="43"/>
      <c r="F991" s="4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42"/>
      <c r="B992" s="42"/>
      <c r="C992" s="43"/>
      <c r="D992" s="43"/>
      <c r="E992" s="43"/>
      <c r="F992" s="4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42"/>
      <c r="B993" s="42"/>
      <c r="C993" s="43"/>
      <c r="D993" s="43"/>
      <c r="E993" s="43"/>
      <c r="F993" s="4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42"/>
      <c r="B994" s="42"/>
      <c r="C994" s="43"/>
      <c r="D994" s="43"/>
      <c r="E994" s="43"/>
      <c r="F994" s="4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42"/>
      <c r="B995" s="42"/>
      <c r="C995" s="43"/>
      <c r="D995" s="43"/>
      <c r="E995" s="43"/>
      <c r="F995" s="4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42"/>
      <c r="B996" s="42"/>
      <c r="C996" s="43"/>
      <c r="D996" s="43"/>
      <c r="E996" s="43"/>
      <c r="F996" s="4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42"/>
      <c r="B997" s="42"/>
      <c r="C997" s="43"/>
      <c r="D997" s="43"/>
      <c r="E997" s="43"/>
      <c r="F997" s="4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42"/>
      <c r="B998" s="42"/>
      <c r="C998" s="43"/>
      <c r="D998" s="43"/>
      <c r="E998" s="43"/>
      <c r="F998" s="4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42"/>
      <c r="B999" s="42"/>
      <c r="C999" s="43"/>
      <c r="D999" s="43"/>
      <c r="E999" s="43"/>
      <c r="F999" s="4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4.5"/>
    <col customWidth="1" min="3" max="3" width="24.0"/>
    <col customWidth="1" min="4" max="4" width="11.88"/>
    <col customWidth="1" min="5" max="5" width="14.38"/>
    <col customWidth="1" min="6" max="7" width="11.88"/>
    <col customWidth="1" min="8" max="8" width="18.5"/>
    <col customWidth="1" min="9" max="9" width="45.13"/>
    <col customWidth="1" min="10" max="31" width="8.88"/>
  </cols>
  <sheetData>
    <row r="1">
      <c r="A1" s="3" t="s">
        <v>0</v>
      </c>
      <c r="B1" s="6" t="s">
        <v>3</v>
      </c>
      <c r="C1" s="8" t="s">
        <v>1</v>
      </c>
      <c r="D1" s="12" t="s">
        <v>2</v>
      </c>
      <c r="E1" s="12" t="s">
        <v>9</v>
      </c>
      <c r="F1" s="12" t="s">
        <v>10</v>
      </c>
      <c r="G1" s="12" t="s">
        <v>11</v>
      </c>
      <c r="H1" s="12" t="s">
        <v>12</v>
      </c>
      <c r="I1" s="12" t="s">
        <v>6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>
      <c r="A2" s="17">
        <v>1.0</v>
      </c>
      <c r="B2" s="18">
        <v>46113.0</v>
      </c>
      <c r="C2" s="20" t="s">
        <v>16</v>
      </c>
      <c r="D2" s="22" t="s">
        <v>18</v>
      </c>
      <c r="E2" s="22" t="s">
        <v>20</v>
      </c>
      <c r="F2" s="24">
        <v>14.0</v>
      </c>
      <c r="G2" s="24"/>
      <c r="H2" s="22">
        <v>9.1</v>
      </c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>
      <c r="A3" s="17">
        <v>2.0</v>
      </c>
      <c r="B3" s="18">
        <v>46113.0</v>
      </c>
      <c r="C3" s="20" t="s">
        <v>25</v>
      </c>
      <c r="D3" s="22" t="s">
        <v>18</v>
      </c>
      <c r="E3" s="22" t="s">
        <v>27</v>
      </c>
      <c r="F3" s="24"/>
      <c r="G3" s="24"/>
      <c r="H3" s="22">
        <v>4.0</v>
      </c>
      <c r="I3" s="26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>
      <c r="A4" s="17">
        <v>3.0</v>
      </c>
      <c r="B4" s="18">
        <v>46113.0</v>
      </c>
      <c r="C4" s="20" t="s">
        <v>30</v>
      </c>
      <c r="D4" s="22" t="s">
        <v>18</v>
      </c>
      <c r="E4" s="22" t="s">
        <v>20</v>
      </c>
      <c r="F4" s="24">
        <v>18.0</v>
      </c>
      <c r="G4" s="24"/>
      <c r="H4" s="22">
        <v>12.5</v>
      </c>
      <c r="I4" s="26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</row>
    <row r="5">
      <c r="A5" s="17">
        <v>4.0</v>
      </c>
      <c r="B5" s="18">
        <v>46113.0</v>
      </c>
      <c r="C5" s="20" t="s">
        <v>34</v>
      </c>
      <c r="D5" s="22" t="s">
        <v>18</v>
      </c>
      <c r="E5" s="22" t="s">
        <v>20</v>
      </c>
      <c r="F5" s="24">
        <v>14.0</v>
      </c>
      <c r="G5" s="24"/>
      <c r="H5" s="22">
        <v>8.5</v>
      </c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>
      <c r="A6" s="17">
        <v>5.0</v>
      </c>
      <c r="B6" s="18">
        <v>46113.0</v>
      </c>
      <c r="C6" s="20" t="s">
        <v>38</v>
      </c>
      <c r="D6" s="22" t="s">
        <v>18</v>
      </c>
      <c r="E6" s="22" t="s">
        <v>20</v>
      </c>
      <c r="F6" s="24">
        <v>16.0</v>
      </c>
      <c r="G6" s="24"/>
      <c r="H6" s="22">
        <v>9.7</v>
      </c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>
      <c r="A7" s="17">
        <v>6.0</v>
      </c>
      <c r="B7" s="18">
        <v>46113.0</v>
      </c>
      <c r="C7" s="20" t="s">
        <v>43</v>
      </c>
      <c r="D7" s="22" t="s">
        <v>18</v>
      </c>
      <c r="E7" s="22" t="s">
        <v>20</v>
      </c>
      <c r="F7" s="24">
        <v>54.0</v>
      </c>
      <c r="G7" s="24"/>
      <c r="H7" s="22">
        <v>28.5</v>
      </c>
      <c r="I7" s="26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>
      <c r="A8" s="17">
        <v>7.0</v>
      </c>
      <c r="B8" s="18">
        <v>46113.0</v>
      </c>
      <c r="C8" s="20" t="s">
        <v>47</v>
      </c>
      <c r="D8" s="22" t="s">
        <v>18</v>
      </c>
      <c r="E8" s="22" t="s">
        <v>20</v>
      </c>
      <c r="F8" s="24">
        <v>22.0</v>
      </c>
      <c r="G8" s="24"/>
      <c r="H8" s="22">
        <v>12.0</v>
      </c>
      <c r="I8" s="26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</row>
    <row r="9">
      <c r="A9" s="17">
        <v>8.0</v>
      </c>
      <c r="B9" s="18">
        <v>46113.0</v>
      </c>
      <c r="C9" s="20" t="s">
        <v>53</v>
      </c>
      <c r="D9" s="22" t="s">
        <v>18</v>
      </c>
      <c r="E9" s="22" t="s">
        <v>20</v>
      </c>
      <c r="F9" s="24">
        <v>34.0</v>
      </c>
      <c r="G9" s="24"/>
      <c r="H9" s="22">
        <v>19.0</v>
      </c>
      <c r="I9" s="34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>
      <c r="A10" s="17">
        <v>9.0</v>
      </c>
      <c r="B10" s="18">
        <v>46113.0</v>
      </c>
      <c r="C10" s="20" t="s">
        <v>56</v>
      </c>
      <c r="D10" s="22" t="s">
        <v>18</v>
      </c>
      <c r="E10" s="22" t="s">
        <v>20</v>
      </c>
      <c r="F10" s="24">
        <v>40.0</v>
      </c>
      <c r="G10" s="24"/>
      <c r="H10" s="22">
        <v>19.0</v>
      </c>
      <c r="I10" s="34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>
      <c r="A11" s="17">
        <v>10.0</v>
      </c>
      <c r="B11" s="18">
        <v>46113.0</v>
      </c>
      <c r="C11" s="20" t="s">
        <v>59</v>
      </c>
      <c r="D11" s="24" t="s">
        <v>60</v>
      </c>
      <c r="E11" s="22" t="s">
        <v>20</v>
      </c>
      <c r="F11" s="24">
        <v>14.0</v>
      </c>
      <c r="G11" s="24"/>
      <c r="H11" s="22">
        <v>9.5</v>
      </c>
      <c r="I11" s="34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>
      <c r="A12" s="17">
        <v>11.0</v>
      </c>
      <c r="B12" s="18">
        <v>46113.0</v>
      </c>
      <c r="C12" s="20" t="s">
        <v>63</v>
      </c>
      <c r="D12" s="24" t="s">
        <v>60</v>
      </c>
      <c r="E12" s="22" t="s">
        <v>20</v>
      </c>
      <c r="F12" s="24">
        <v>42.0</v>
      </c>
      <c r="G12" s="24"/>
      <c r="H12" s="22">
        <v>29.42</v>
      </c>
      <c r="I12" s="34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>
      <c r="A13" s="17">
        <v>12.0</v>
      </c>
      <c r="B13" s="18">
        <v>46113.0</v>
      </c>
      <c r="C13" s="20" t="s">
        <v>67</v>
      </c>
      <c r="D13" s="24" t="s">
        <v>60</v>
      </c>
      <c r="E13" s="22" t="s">
        <v>20</v>
      </c>
      <c r="F13" s="24">
        <v>340.0</v>
      </c>
      <c r="G13" s="24"/>
      <c r="H13" s="22">
        <f>11.5*14</f>
        <v>161</v>
      </c>
      <c r="I13" s="34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>
      <c r="A14" s="17">
        <v>13.0</v>
      </c>
      <c r="B14" s="18">
        <v>46113.0</v>
      </c>
      <c r="C14" s="20" t="s">
        <v>69</v>
      </c>
      <c r="D14" s="24" t="s">
        <v>60</v>
      </c>
      <c r="E14" s="22" t="s">
        <v>20</v>
      </c>
      <c r="F14" s="24">
        <v>20.0</v>
      </c>
      <c r="G14" s="24"/>
      <c r="H14" s="22">
        <v>11.8</v>
      </c>
      <c r="I14" s="34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>
      <c r="A15" s="17">
        <v>14.0</v>
      </c>
      <c r="B15" s="18">
        <v>46113.0</v>
      </c>
      <c r="C15" s="20" t="s">
        <v>71</v>
      </c>
      <c r="D15" s="24" t="s">
        <v>13</v>
      </c>
      <c r="E15" s="24" t="s">
        <v>72</v>
      </c>
      <c r="F15" s="24">
        <f>14+38</f>
        <v>52</v>
      </c>
      <c r="G15" s="24">
        <f>8.5*6</f>
        <v>51</v>
      </c>
      <c r="H15" s="39">
        <f>46+24</f>
        <v>70</v>
      </c>
      <c r="I15" s="34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>
      <c r="A16" s="17">
        <v>15.0</v>
      </c>
      <c r="B16" s="18">
        <v>46113.0</v>
      </c>
      <c r="C16" s="20" t="s">
        <v>79</v>
      </c>
      <c r="D16" s="24" t="s">
        <v>13</v>
      </c>
      <c r="E16" s="24" t="s">
        <v>80</v>
      </c>
      <c r="F16" s="24"/>
      <c r="G16" s="24"/>
      <c r="H16" s="39">
        <f>87.5*1.18</f>
        <v>103.25</v>
      </c>
      <c r="I16" s="34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>
      <c r="A17" s="17">
        <v>16.0</v>
      </c>
      <c r="B17" s="18">
        <v>46143.0</v>
      </c>
      <c r="C17" s="20" t="s">
        <v>83</v>
      </c>
      <c r="D17" s="24" t="s">
        <v>60</v>
      </c>
      <c r="E17" s="24" t="s">
        <v>20</v>
      </c>
      <c r="F17" s="24">
        <v>32.0</v>
      </c>
      <c r="G17" s="24"/>
      <c r="H17" s="22">
        <v>19.6</v>
      </c>
      <c r="I17" s="34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>
      <c r="A18" s="17">
        <v>17.0</v>
      </c>
      <c r="B18" s="18">
        <v>46143.0</v>
      </c>
      <c r="C18" s="20" t="s">
        <v>86</v>
      </c>
      <c r="D18" s="24" t="s">
        <v>18</v>
      </c>
      <c r="E18" s="24" t="s">
        <v>20</v>
      </c>
      <c r="F18" s="24">
        <v>78.0</v>
      </c>
      <c r="G18" s="24"/>
      <c r="H18" s="39">
        <f>35.65</f>
        <v>35.65</v>
      </c>
      <c r="I18" s="39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>
      <c r="A19" s="17">
        <v>18.0</v>
      </c>
      <c r="B19" s="18">
        <v>46143.0</v>
      </c>
      <c r="C19" s="20" t="s">
        <v>88</v>
      </c>
      <c r="D19" s="22" t="s">
        <v>60</v>
      </c>
      <c r="E19" s="24" t="s">
        <v>20</v>
      </c>
      <c r="F19" s="24">
        <v>20.0</v>
      </c>
      <c r="G19" s="24"/>
      <c r="H19" s="22">
        <v>12.0</v>
      </c>
      <c r="I19" s="39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>
      <c r="A20" s="17">
        <v>19.0</v>
      </c>
      <c r="B20" s="18">
        <v>46143.0</v>
      </c>
      <c r="C20" s="20" t="s">
        <v>92</v>
      </c>
      <c r="D20" s="22" t="s">
        <v>18</v>
      </c>
      <c r="E20" s="41" t="s">
        <v>93</v>
      </c>
      <c r="F20" s="24"/>
      <c r="G20" s="24"/>
      <c r="H20" s="22">
        <v>44.84</v>
      </c>
      <c r="I20" s="39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>
      <c r="A21" s="17">
        <v>20.0</v>
      </c>
      <c r="B21" s="18">
        <v>46143.0</v>
      </c>
      <c r="C21" s="20" t="s">
        <v>96</v>
      </c>
      <c r="D21" s="22" t="s">
        <v>60</v>
      </c>
      <c r="E21" s="22" t="s">
        <v>20</v>
      </c>
      <c r="F21" s="24">
        <v>20.0</v>
      </c>
      <c r="G21" s="24"/>
      <c r="H21" s="22">
        <v>12.0</v>
      </c>
      <c r="I21" s="39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>
      <c r="A22" s="17">
        <v>21.0</v>
      </c>
      <c r="B22" s="18">
        <v>46143.0</v>
      </c>
      <c r="C22" s="20" t="s">
        <v>98</v>
      </c>
      <c r="D22" s="22" t="s">
        <v>60</v>
      </c>
      <c r="E22" s="22" t="s">
        <v>99</v>
      </c>
      <c r="F22" s="24"/>
      <c r="G22" s="24">
        <v>70.0</v>
      </c>
      <c r="H22" s="22">
        <v>44.2</v>
      </c>
      <c r="I22" s="39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>
      <c r="A23" s="17">
        <v>22.0</v>
      </c>
      <c r="B23" s="18">
        <v>46143.0</v>
      </c>
      <c r="C23" s="20" t="s">
        <v>101</v>
      </c>
      <c r="D23" s="22" t="s">
        <v>60</v>
      </c>
      <c r="E23" s="22" t="s">
        <v>20</v>
      </c>
      <c r="F23" s="24">
        <v>24.0</v>
      </c>
      <c r="G23" s="24"/>
      <c r="H23" s="22">
        <v>18.0</v>
      </c>
      <c r="I23" s="39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>
      <c r="A24" s="17">
        <v>23.0</v>
      </c>
      <c r="B24" s="18">
        <v>46143.0</v>
      </c>
      <c r="C24" s="20" t="s">
        <v>102</v>
      </c>
      <c r="D24" s="22" t="s">
        <v>18</v>
      </c>
      <c r="E24" s="22" t="s">
        <v>99</v>
      </c>
      <c r="F24" s="24"/>
      <c r="G24" s="24">
        <v>66.0</v>
      </c>
      <c r="H24" s="22">
        <v>30.0</v>
      </c>
      <c r="I24" s="39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</row>
    <row r="25">
      <c r="A25" s="17">
        <v>24.0</v>
      </c>
      <c r="B25" s="18">
        <v>46143.0</v>
      </c>
      <c r="C25" s="20" t="s">
        <v>104</v>
      </c>
      <c r="D25" s="22" t="s">
        <v>18</v>
      </c>
      <c r="E25" s="22" t="s">
        <v>20</v>
      </c>
      <c r="F25" s="24">
        <v>160.0</v>
      </c>
      <c r="G25" s="24"/>
      <c r="H25" s="22">
        <v>88.0</v>
      </c>
      <c r="I25" s="39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>
      <c r="A26" s="17">
        <v>25.0</v>
      </c>
      <c r="B26" s="18">
        <v>46143.0</v>
      </c>
      <c r="C26" s="20" t="s">
        <v>107</v>
      </c>
      <c r="D26" s="22" t="s">
        <v>13</v>
      </c>
      <c r="E26" s="22" t="s">
        <v>20</v>
      </c>
      <c r="F26" s="24">
        <v>30.0</v>
      </c>
      <c r="G26" s="24"/>
      <c r="H26" s="22">
        <v>23.0</v>
      </c>
      <c r="I26" s="39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>
      <c r="A27" s="17">
        <v>26.0</v>
      </c>
      <c r="B27" s="18">
        <v>46174.0</v>
      </c>
      <c r="C27" s="20" t="s">
        <v>91</v>
      </c>
      <c r="D27" s="22" t="s">
        <v>60</v>
      </c>
      <c r="E27" s="22" t="s">
        <v>20</v>
      </c>
      <c r="F27" s="24">
        <v>44.0</v>
      </c>
      <c r="G27" s="24"/>
      <c r="H27" s="22">
        <v>30.0</v>
      </c>
      <c r="I27" s="39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8">
      <c r="A28" s="17">
        <v>27.0</v>
      </c>
      <c r="B28" s="18">
        <v>46174.0</v>
      </c>
      <c r="C28" s="20" t="s">
        <v>109</v>
      </c>
      <c r="D28" s="22" t="s">
        <v>60</v>
      </c>
      <c r="E28" s="22" t="s">
        <v>20</v>
      </c>
      <c r="F28" s="24">
        <v>30.0</v>
      </c>
      <c r="G28" s="24"/>
      <c r="H28" s="22">
        <v>16.5</v>
      </c>
      <c r="I28" s="39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>
      <c r="A29" s="17">
        <v>28.0</v>
      </c>
      <c r="B29" s="18">
        <v>46174.0</v>
      </c>
      <c r="C29" s="20" t="s">
        <v>112</v>
      </c>
      <c r="D29" s="22" t="s">
        <v>60</v>
      </c>
      <c r="E29" s="22" t="s">
        <v>20</v>
      </c>
      <c r="F29" s="24">
        <v>20.0</v>
      </c>
      <c r="G29" s="24"/>
      <c r="H29" s="22">
        <v>17.4</v>
      </c>
      <c r="I29" s="39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>
      <c r="A30" s="17">
        <v>29.0</v>
      </c>
      <c r="B30" s="18">
        <v>46174.0</v>
      </c>
      <c r="C30" s="20" t="s">
        <v>114</v>
      </c>
      <c r="D30" s="22" t="s">
        <v>60</v>
      </c>
      <c r="E30" s="22" t="s">
        <v>20</v>
      </c>
      <c r="F30" s="24">
        <v>14.0</v>
      </c>
      <c r="G30" s="24"/>
      <c r="H30" s="22">
        <v>11.75</v>
      </c>
      <c r="I30" s="39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>
      <c r="A31" s="17">
        <v>30.0</v>
      </c>
      <c r="B31" s="18">
        <v>46174.0</v>
      </c>
      <c r="C31" s="20" t="s">
        <v>116</v>
      </c>
      <c r="D31" s="22" t="s">
        <v>60</v>
      </c>
      <c r="E31" s="22" t="s">
        <v>20</v>
      </c>
      <c r="F31" s="24">
        <v>14.0</v>
      </c>
      <c r="G31" s="24"/>
      <c r="H31" s="22">
        <v>10.75</v>
      </c>
      <c r="I31" s="39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>
      <c r="A32" s="17">
        <v>31.0</v>
      </c>
      <c r="B32" s="18">
        <v>46174.0</v>
      </c>
      <c r="C32" s="20" t="s">
        <v>118</v>
      </c>
      <c r="D32" s="22" t="s">
        <v>60</v>
      </c>
      <c r="E32" s="22" t="s">
        <v>20</v>
      </c>
      <c r="F32" s="24">
        <v>22.0</v>
      </c>
      <c r="G32" s="24"/>
      <c r="H32" s="22">
        <v>14.5</v>
      </c>
      <c r="I32" s="39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>
      <c r="A33" s="17">
        <v>32.0</v>
      </c>
      <c r="B33" s="18">
        <v>46174.0</v>
      </c>
      <c r="C33" s="20" t="s">
        <v>120</v>
      </c>
      <c r="D33" s="22" t="s">
        <v>60</v>
      </c>
      <c r="E33" s="22" t="s">
        <v>20</v>
      </c>
      <c r="F33" s="24">
        <v>12.0</v>
      </c>
      <c r="G33" s="24"/>
      <c r="H33" s="22">
        <v>8.0</v>
      </c>
      <c r="I33" s="39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>
      <c r="A34" s="17">
        <v>33.0</v>
      </c>
      <c r="B34" s="18">
        <v>46174.0</v>
      </c>
      <c r="C34" s="20" t="s">
        <v>123</v>
      </c>
      <c r="D34" s="22" t="s">
        <v>18</v>
      </c>
      <c r="E34" s="22" t="s">
        <v>20</v>
      </c>
      <c r="F34" s="24">
        <v>104.0</v>
      </c>
      <c r="G34" s="24"/>
      <c r="H34" s="22">
        <v>54.5</v>
      </c>
      <c r="I34" s="39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>
      <c r="A35" s="17">
        <v>34.0</v>
      </c>
      <c r="B35" s="18">
        <v>46174.0</v>
      </c>
      <c r="C35" s="20" t="s">
        <v>124</v>
      </c>
      <c r="D35" s="22" t="s">
        <v>60</v>
      </c>
      <c r="E35" s="22" t="s">
        <v>20</v>
      </c>
      <c r="F35" s="24">
        <v>16.0</v>
      </c>
      <c r="G35" s="24"/>
      <c r="H35" s="22">
        <v>13.0</v>
      </c>
      <c r="I35" s="22" t="s">
        <v>125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>
      <c r="A36" s="17">
        <v>35.0</v>
      </c>
      <c r="B36" s="18">
        <v>46174.0</v>
      </c>
      <c r="C36" s="19" t="s">
        <v>126</v>
      </c>
      <c r="D36" s="13" t="s">
        <v>60</v>
      </c>
      <c r="E36" s="22" t="s">
        <v>20</v>
      </c>
      <c r="F36" s="24">
        <v>50.0</v>
      </c>
      <c r="G36" s="24"/>
      <c r="H36" s="22">
        <v>30.0</v>
      </c>
      <c r="I36" s="22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>
      <c r="A37" s="17">
        <v>36.0</v>
      </c>
      <c r="B37" s="18">
        <v>46174.0</v>
      </c>
      <c r="C37" s="20" t="s">
        <v>127</v>
      </c>
      <c r="D37" s="13" t="s">
        <v>78</v>
      </c>
      <c r="E37" s="22" t="s">
        <v>20</v>
      </c>
      <c r="F37" s="24">
        <v>80.0</v>
      </c>
      <c r="G37" s="24"/>
      <c r="H37" s="22">
        <v>40.5</v>
      </c>
      <c r="I37" s="22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>
      <c r="A38" s="17">
        <v>37.0</v>
      </c>
      <c r="B38" s="18">
        <v>46174.0</v>
      </c>
      <c r="C38" s="20" t="s">
        <v>128</v>
      </c>
      <c r="D38" s="22" t="s">
        <v>18</v>
      </c>
      <c r="E38" s="22" t="s">
        <v>20</v>
      </c>
      <c r="F38" s="24"/>
      <c r="G38" s="24"/>
      <c r="H38" s="22">
        <v>55.0</v>
      </c>
      <c r="I38" s="39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>
      <c r="A39" s="17">
        <v>38.0</v>
      </c>
      <c r="B39" s="18">
        <v>46174.0</v>
      </c>
      <c r="C39" s="19" t="s">
        <v>130</v>
      </c>
      <c r="D39" s="13" t="s">
        <v>18</v>
      </c>
      <c r="E39" s="22" t="s">
        <v>20</v>
      </c>
      <c r="F39" s="24">
        <v>28.0</v>
      </c>
      <c r="G39" s="24"/>
      <c r="H39" s="22">
        <v>18.0</v>
      </c>
      <c r="I39" s="22" t="s">
        <v>125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>
      <c r="A40" s="17">
        <v>39.0</v>
      </c>
      <c r="B40" s="18">
        <v>46174.0</v>
      </c>
      <c r="C40" s="20" t="s">
        <v>132</v>
      </c>
      <c r="D40" s="22" t="s">
        <v>78</v>
      </c>
      <c r="E40" s="22" t="s">
        <v>20</v>
      </c>
      <c r="F40" s="24">
        <v>10.0</v>
      </c>
      <c r="G40" s="24"/>
      <c r="H40" s="22">
        <v>6.7</v>
      </c>
      <c r="I40" s="22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>
      <c r="A41" s="17">
        <v>40.0</v>
      </c>
      <c r="B41" s="18">
        <v>46174.0</v>
      </c>
      <c r="C41" s="20" t="s">
        <v>133</v>
      </c>
      <c r="D41" s="22" t="s">
        <v>13</v>
      </c>
      <c r="E41" s="22" t="s">
        <v>20</v>
      </c>
      <c r="F41" s="24">
        <v>48.0</v>
      </c>
      <c r="G41" s="24"/>
      <c r="H41" s="22">
        <v>45.16</v>
      </c>
      <c r="I41" s="39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>
      <c r="A42" s="17">
        <v>41.0</v>
      </c>
      <c r="B42" s="18">
        <v>46204.0</v>
      </c>
      <c r="C42" s="20" t="s">
        <v>134</v>
      </c>
      <c r="D42" s="22" t="s">
        <v>60</v>
      </c>
      <c r="E42" s="22" t="s">
        <v>20</v>
      </c>
      <c r="F42" s="24">
        <v>24.0</v>
      </c>
      <c r="G42" s="24"/>
      <c r="H42" s="22">
        <v>14.7</v>
      </c>
      <c r="I42" s="39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>
      <c r="A43" s="17">
        <v>42.0</v>
      </c>
      <c r="B43" s="18">
        <v>46204.0</v>
      </c>
      <c r="C43" s="20" t="s">
        <v>135</v>
      </c>
      <c r="D43" s="22" t="s">
        <v>60</v>
      </c>
      <c r="E43" s="22" t="s">
        <v>20</v>
      </c>
      <c r="F43" s="24">
        <v>18.0</v>
      </c>
      <c r="G43" s="24"/>
      <c r="H43" s="22">
        <v>13.35</v>
      </c>
      <c r="I43" s="39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>
      <c r="A44" s="17">
        <v>43.0</v>
      </c>
      <c r="B44" s="18">
        <v>46204.0</v>
      </c>
      <c r="C44" s="20" t="s">
        <v>136</v>
      </c>
      <c r="D44" s="22" t="s">
        <v>60</v>
      </c>
      <c r="E44" s="22" t="s">
        <v>99</v>
      </c>
      <c r="F44" s="24"/>
      <c r="G44" s="24">
        <v>34.0</v>
      </c>
      <c r="H44" s="22">
        <v>9.3</v>
      </c>
      <c r="I44" s="39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>
      <c r="A45" s="17">
        <v>44.0</v>
      </c>
      <c r="B45" s="18">
        <v>46204.0</v>
      </c>
      <c r="C45" s="20" t="s">
        <v>137</v>
      </c>
      <c r="D45" s="22" t="s">
        <v>78</v>
      </c>
      <c r="E45" s="22" t="s">
        <v>99</v>
      </c>
      <c r="F45" s="24"/>
      <c r="G45" s="24">
        <v>44.0</v>
      </c>
      <c r="H45" s="22">
        <v>17.47</v>
      </c>
      <c r="I45" s="39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>
      <c r="A46" s="17">
        <v>45.0</v>
      </c>
      <c r="B46" s="18">
        <v>46204.0</v>
      </c>
      <c r="C46" s="20" t="s">
        <v>139</v>
      </c>
      <c r="D46" s="22" t="s">
        <v>60</v>
      </c>
      <c r="E46" s="22" t="s">
        <v>20</v>
      </c>
      <c r="F46" s="24">
        <v>36.0</v>
      </c>
      <c r="G46" s="24"/>
      <c r="H46" s="22">
        <v>20.5</v>
      </c>
      <c r="I46" s="39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>
      <c r="A47" s="17">
        <v>46.0</v>
      </c>
      <c r="B47" s="18">
        <v>46204.0</v>
      </c>
      <c r="C47" s="20" t="s">
        <v>140</v>
      </c>
      <c r="D47" s="22" t="s">
        <v>18</v>
      </c>
      <c r="E47" s="22" t="s">
        <v>20</v>
      </c>
      <c r="F47" s="24">
        <v>104.0</v>
      </c>
      <c r="G47" s="24"/>
      <c r="H47" s="22">
        <v>51.0</v>
      </c>
      <c r="I47" s="39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>
      <c r="A48" s="17">
        <v>47.0</v>
      </c>
      <c r="B48" s="18">
        <v>46204.0</v>
      </c>
      <c r="C48" s="20" t="s">
        <v>141</v>
      </c>
      <c r="D48" s="22" t="s">
        <v>78</v>
      </c>
      <c r="E48" s="22" t="s">
        <v>20</v>
      </c>
      <c r="F48" s="24"/>
      <c r="G48" s="24"/>
      <c r="H48" s="22">
        <v>3.62</v>
      </c>
      <c r="I48" s="39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>
      <c r="A49" s="17">
        <v>48.0</v>
      </c>
      <c r="B49" s="18">
        <v>46204.0</v>
      </c>
      <c r="C49" s="20" t="s">
        <v>142</v>
      </c>
      <c r="D49" s="22" t="s">
        <v>60</v>
      </c>
      <c r="E49" s="22" t="s">
        <v>20</v>
      </c>
      <c r="F49" s="24">
        <v>26.0</v>
      </c>
      <c r="G49" s="24"/>
      <c r="H49" s="22">
        <v>11.8</v>
      </c>
      <c r="I49" s="39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>
      <c r="A50" s="17">
        <v>49.0</v>
      </c>
      <c r="B50" s="18">
        <v>46204.0</v>
      </c>
      <c r="C50" s="20" t="s">
        <v>143</v>
      </c>
      <c r="D50" s="22" t="s">
        <v>13</v>
      </c>
      <c r="E50" s="22" t="s">
        <v>99</v>
      </c>
      <c r="F50" s="24"/>
      <c r="G50" s="24">
        <v>13.0</v>
      </c>
      <c r="H50" s="22">
        <v>7.39</v>
      </c>
      <c r="I50" s="39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>
      <c r="A51" s="17">
        <v>50.0</v>
      </c>
      <c r="B51" s="18">
        <v>46204.0</v>
      </c>
      <c r="C51" s="20" t="s">
        <v>144</v>
      </c>
      <c r="D51" s="22" t="s">
        <v>60</v>
      </c>
      <c r="E51" s="22" t="s">
        <v>20</v>
      </c>
      <c r="F51" s="24">
        <v>212.0</v>
      </c>
      <c r="G51" s="24"/>
      <c r="H51" s="22">
        <v>101.0</v>
      </c>
      <c r="I51" s="22" t="s">
        <v>125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>
      <c r="A52" s="17">
        <v>51.0</v>
      </c>
      <c r="B52" s="18">
        <v>46204.0</v>
      </c>
      <c r="C52" s="20" t="s">
        <v>145</v>
      </c>
      <c r="D52" s="22" t="s">
        <v>18</v>
      </c>
      <c r="E52" s="22" t="s">
        <v>20</v>
      </c>
      <c r="F52" s="24">
        <v>180.0</v>
      </c>
      <c r="G52" s="24"/>
      <c r="H52" s="39">
        <f>118*1.18</f>
        <v>139.24</v>
      </c>
      <c r="I52" s="39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>
      <c r="A53" s="17">
        <v>52.0</v>
      </c>
      <c r="B53" s="18">
        <v>46204.0</v>
      </c>
      <c r="C53" s="20" t="s">
        <v>146</v>
      </c>
      <c r="D53" s="22" t="s">
        <v>13</v>
      </c>
      <c r="E53" s="39"/>
      <c r="F53" s="24"/>
      <c r="G53" s="24"/>
      <c r="H53" s="22">
        <v>467.0</v>
      </c>
      <c r="I53" s="22" t="s">
        <v>147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>
      <c r="A54" s="17">
        <v>53.0</v>
      </c>
      <c r="B54" s="18">
        <v>46204.0</v>
      </c>
      <c r="C54" s="20" t="s">
        <v>148</v>
      </c>
      <c r="D54" s="22" t="s">
        <v>60</v>
      </c>
      <c r="E54" s="22" t="s">
        <v>20</v>
      </c>
      <c r="F54" s="24">
        <v>24.0</v>
      </c>
      <c r="G54" s="24"/>
      <c r="H54" s="22">
        <v>18.0</v>
      </c>
      <c r="I54" s="22" t="s">
        <v>149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>
      <c r="A55" s="17">
        <v>54.0</v>
      </c>
      <c r="B55" s="18">
        <v>46204.0</v>
      </c>
      <c r="C55" s="20" t="s">
        <v>150</v>
      </c>
      <c r="D55" s="22" t="s">
        <v>13</v>
      </c>
      <c r="E55" s="39"/>
      <c r="F55" s="24"/>
      <c r="G55" s="24"/>
      <c r="H55" s="22">
        <v>47.0</v>
      </c>
      <c r="I55" s="22" t="s">
        <v>125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>
      <c r="A56" s="17">
        <v>55.0</v>
      </c>
      <c r="B56" s="18">
        <v>46235.0</v>
      </c>
      <c r="C56" s="20" t="s">
        <v>68</v>
      </c>
      <c r="D56" s="22" t="s">
        <v>18</v>
      </c>
      <c r="E56" s="22" t="s">
        <v>20</v>
      </c>
      <c r="F56" s="24">
        <v>110.0</v>
      </c>
      <c r="G56" s="24"/>
      <c r="H56" s="39">
        <f>79*1.18</f>
        <v>93.22</v>
      </c>
      <c r="I56" s="39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>
      <c r="A57" s="17">
        <v>56.0</v>
      </c>
      <c r="B57" s="18">
        <v>46235.0</v>
      </c>
      <c r="C57" s="52"/>
      <c r="D57" s="22"/>
      <c r="E57" s="39"/>
      <c r="F57" s="24"/>
      <c r="G57" s="24"/>
      <c r="H57" s="39"/>
      <c r="I57" s="39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>
      <c r="A58" s="17">
        <v>57.0</v>
      </c>
      <c r="B58" s="18"/>
      <c r="C58" s="52"/>
      <c r="D58" s="22"/>
      <c r="E58" s="39"/>
      <c r="F58" s="24"/>
      <c r="G58" s="24"/>
      <c r="H58" s="39"/>
      <c r="I58" s="39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>
      <c r="A59" s="17"/>
      <c r="B59" s="17"/>
      <c r="C59" s="52" t="s">
        <v>111</v>
      </c>
      <c r="D59" s="39"/>
      <c r="E59" s="39"/>
      <c r="F59" s="24">
        <f t="shared" ref="F59:H59" si="1">SUM(F2:F58)</f>
        <v>2270</v>
      </c>
      <c r="G59" s="24">
        <f t="shared" si="1"/>
        <v>278</v>
      </c>
      <c r="H59" s="22">
        <f t="shared" si="1"/>
        <v>2220.91</v>
      </c>
      <c r="I59" s="39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</sheetData>
  <autoFilter ref="$A$1:$AE$59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9" width="8.88"/>
    <col customWidth="1" hidden="1" min="30" max="56" width="8.88"/>
    <col customWidth="1" min="57" max="81" width="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>
      <c r="A2" s="1"/>
      <c r="B2" s="10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>
      <c r="A3" s="1"/>
      <c r="B3" s="21"/>
      <c r="C3" s="23">
        <v>46113.0</v>
      </c>
      <c r="D3" s="25"/>
      <c r="E3" s="11"/>
      <c r="F3" s="23">
        <v>46143.0</v>
      </c>
      <c r="G3" s="25"/>
      <c r="H3" s="11"/>
      <c r="I3" s="23">
        <v>46174.0</v>
      </c>
      <c r="J3" s="25"/>
      <c r="K3" s="11"/>
      <c r="L3" s="28" t="s">
        <v>24</v>
      </c>
      <c r="M3" s="25"/>
      <c r="N3" s="11"/>
      <c r="O3" s="23">
        <v>46204.0</v>
      </c>
      <c r="P3" s="25"/>
      <c r="Q3" s="11"/>
      <c r="R3" s="23">
        <v>46235.0</v>
      </c>
      <c r="S3" s="25"/>
      <c r="T3" s="11"/>
      <c r="U3" s="23">
        <v>46266.0</v>
      </c>
      <c r="V3" s="25"/>
      <c r="W3" s="11"/>
      <c r="X3" s="28" t="s">
        <v>29</v>
      </c>
      <c r="Y3" s="25"/>
      <c r="Z3" s="11"/>
      <c r="AA3" s="28" t="s">
        <v>31</v>
      </c>
      <c r="AB3" s="25"/>
      <c r="AC3" s="11"/>
      <c r="AD3" s="23">
        <v>46296.0</v>
      </c>
      <c r="AE3" s="25"/>
      <c r="AF3" s="11"/>
      <c r="AG3" s="23">
        <v>46327.0</v>
      </c>
      <c r="AH3" s="25"/>
      <c r="AI3" s="11"/>
      <c r="AJ3" s="23">
        <v>46357.0</v>
      </c>
      <c r="AK3" s="25"/>
      <c r="AL3" s="11"/>
      <c r="AM3" s="28" t="s">
        <v>33</v>
      </c>
      <c r="AN3" s="25"/>
      <c r="AO3" s="11"/>
      <c r="AP3" s="23">
        <v>46388.0</v>
      </c>
      <c r="AQ3" s="25"/>
      <c r="AR3" s="11"/>
      <c r="AS3" s="23">
        <v>46419.0</v>
      </c>
      <c r="AT3" s="25"/>
      <c r="AU3" s="11"/>
      <c r="AV3" s="23">
        <v>46447.0</v>
      </c>
      <c r="AW3" s="25"/>
      <c r="AX3" s="11"/>
      <c r="AY3" s="28" t="s">
        <v>37</v>
      </c>
      <c r="AZ3" s="25"/>
      <c r="BA3" s="11"/>
      <c r="BB3" s="28" t="s">
        <v>39</v>
      </c>
      <c r="BC3" s="25"/>
      <c r="BD3" s="11"/>
      <c r="BE3" s="28" t="s">
        <v>42</v>
      </c>
      <c r="BF3" s="25"/>
      <c r="BG3" s="1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</row>
    <row r="4">
      <c r="A4" s="1"/>
      <c r="B4" s="32" t="s">
        <v>2</v>
      </c>
      <c r="C4" s="33" t="s">
        <v>48</v>
      </c>
      <c r="D4" s="33" t="s">
        <v>49</v>
      </c>
      <c r="E4" s="33" t="s">
        <v>51</v>
      </c>
      <c r="F4" s="33" t="s">
        <v>48</v>
      </c>
      <c r="G4" s="33" t="s">
        <v>49</v>
      </c>
      <c r="H4" s="33" t="s">
        <v>51</v>
      </c>
      <c r="I4" s="33" t="s">
        <v>48</v>
      </c>
      <c r="J4" s="33" t="s">
        <v>49</v>
      </c>
      <c r="K4" s="33" t="s">
        <v>51</v>
      </c>
      <c r="L4" s="33" t="s">
        <v>48</v>
      </c>
      <c r="M4" s="33" t="s">
        <v>49</v>
      </c>
      <c r="N4" s="33" t="s">
        <v>51</v>
      </c>
      <c r="O4" s="33" t="s">
        <v>48</v>
      </c>
      <c r="P4" s="33" t="s">
        <v>49</v>
      </c>
      <c r="Q4" s="33" t="s">
        <v>51</v>
      </c>
      <c r="R4" s="33" t="s">
        <v>48</v>
      </c>
      <c r="S4" s="33" t="s">
        <v>49</v>
      </c>
      <c r="T4" s="33" t="s">
        <v>51</v>
      </c>
      <c r="U4" s="33" t="s">
        <v>48</v>
      </c>
      <c r="V4" s="33" t="s">
        <v>49</v>
      </c>
      <c r="W4" s="33" t="s">
        <v>51</v>
      </c>
      <c r="X4" s="33" t="s">
        <v>48</v>
      </c>
      <c r="Y4" s="33" t="s">
        <v>49</v>
      </c>
      <c r="Z4" s="33" t="s">
        <v>51</v>
      </c>
      <c r="AA4" s="33" t="s">
        <v>48</v>
      </c>
      <c r="AB4" s="33" t="s">
        <v>49</v>
      </c>
      <c r="AC4" s="33" t="s">
        <v>51</v>
      </c>
      <c r="AD4" s="33" t="s">
        <v>48</v>
      </c>
      <c r="AE4" s="33" t="s">
        <v>49</v>
      </c>
      <c r="AF4" s="33" t="s">
        <v>51</v>
      </c>
      <c r="AG4" s="33" t="s">
        <v>48</v>
      </c>
      <c r="AH4" s="33" t="s">
        <v>49</v>
      </c>
      <c r="AI4" s="33" t="s">
        <v>51</v>
      </c>
      <c r="AJ4" s="33" t="s">
        <v>48</v>
      </c>
      <c r="AK4" s="33" t="s">
        <v>49</v>
      </c>
      <c r="AL4" s="33" t="s">
        <v>51</v>
      </c>
      <c r="AM4" s="33" t="s">
        <v>48</v>
      </c>
      <c r="AN4" s="33" t="s">
        <v>49</v>
      </c>
      <c r="AO4" s="33" t="s">
        <v>51</v>
      </c>
      <c r="AP4" s="33" t="s">
        <v>48</v>
      </c>
      <c r="AQ4" s="33" t="s">
        <v>49</v>
      </c>
      <c r="AR4" s="33" t="s">
        <v>51</v>
      </c>
      <c r="AS4" s="33" t="s">
        <v>48</v>
      </c>
      <c r="AT4" s="33" t="s">
        <v>49</v>
      </c>
      <c r="AU4" s="33" t="s">
        <v>51</v>
      </c>
      <c r="AV4" s="33" t="s">
        <v>48</v>
      </c>
      <c r="AW4" s="33" t="s">
        <v>49</v>
      </c>
      <c r="AX4" s="33" t="s">
        <v>51</v>
      </c>
      <c r="AY4" s="33" t="s">
        <v>48</v>
      </c>
      <c r="AZ4" s="33" t="s">
        <v>49</v>
      </c>
      <c r="BA4" s="33" t="s">
        <v>51</v>
      </c>
      <c r="BB4" s="33" t="s">
        <v>48</v>
      </c>
      <c r="BC4" s="33" t="s">
        <v>49</v>
      </c>
      <c r="BD4" s="33" t="s">
        <v>51</v>
      </c>
      <c r="BE4" s="33" t="s">
        <v>48</v>
      </c>
      <c r="BF4" s="33" t="s">
        <v>49</v>
      </c>
      <c r="BG4" s="33" t="s">
        <v>51</v>
      </c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</row>
    <row r="5">
      <c r="A5" s="1"/>
      <c r="B5" s="32" t="s">
        <v>62</v>
      </c>
      <c r="C5" s="33">
        <v>2.0</v>
      </c>
      <c r="D5" s="33">
        <v>1.73</v>
      </c>
      <c r="E5" s="35">
        <f t="shared" ref="E5:E10" si="8">D5/C5</f>
        <v>0.865</v>
      </c>
      <c r="F5" s="33">
        <v>2.0</v>
      </c>
      <c r="G5" s="33">
        <v>0.23</v>
      </c>
      <c r="H5" s="35">
        <f t="shared" ref="H5:H10" si="9">G5/F5</f>
        <v>0.115</v>
      </c>
      <c r="I5" s="33">
        <v>2.0</v>
      </c>
      <c r="J5" s="36">
        <v>0.4516</v>
      </c>
      <c r="K5" s="35">
        <f t="shared" ref="K5:K10" si="10">J5/I5</f>
        <v>0.2258</v>
      </c>
      <c r="L5" s="37">
        <f t="shared" ref="L5:M5" si="1">C5+F5+I5</f>
        <v>6</v>
      </c>
      <c r="M5" s="38">
        <f t="shared" si="1"/>
        <v>2.4116</v>
      </c>
      <c r="N5" s="35">
        <f t="shared" ref="N5:N10" si="12">M5/L5</f>
        <v>0.4019333333</v>
      </c>
      <c r="O5" s="33">
        <v>2.0</v>
      </c>
      <c r="P5" s="33">
        <v>5.21</v>
      </c>
      <c r="Q5" s="35">
        <f t="shared" ref="Q5:Q10" si="13">P5/O5</f>
        <v>2.605</v>
      </c>
      <c r="R5" s="33">
        <v>2.0</v>
      </c>
      <c r="S5" s="33"/>
      <c r="T5" s="35">
        <f t="shared" ref="T5:T10" si="14">S5/R5</f>
        <v>0</v>
      </c>
      <c r="U5" s="33">
        <v>2.0</v>
      </c>
      <c r="V5" s="37"/>
      <c r="W5" s="35">
        <f t="shared" ref="W5:W10" si="15">V5/U5</f>
        <v>0</v>
      </c>
      <c r="X5" s="37">
        <f t="shared" ref="X5:Y5" si="2">O5+R5+U5</f>
        <v>6</v>
      </c>
      <c r="Y5" s="37">
        <f t="shared" si="2"/>
        <v>5.21</v>
      </c>
      <c r="Z5" s="35">
        <f t="shared" ref="Z5:Z10" si="17">Y5/X5</f>
        <v>0.8683333333</v>
      </c>
      <c r="AA5" s="37">
        <f t="shared" ref="AA5:AB5" si="3">L5+X5</f>
        <v>12</v>
      </c>
      <c r="AB5" s="38">
        <f t="shared" si="3"/>
        <v>7.6216</v>
      </c>
      <c r="AC5" s="35">
        <f t="shared" ref="AC5:AC10" si="19">AB5/AA5</f>
        <v>0.6351333333</v>
      </c>
      <c r="AD5" s="33">
        <v>2.0</v>
      </c>
      <c r="AE5" s="37"/>
      <c r="AF5" s="35">
        <f t="shared" ref="AF5:AF10" si="20">AE5/AD5</f>
        <v>0</v>
      </c>
      <c r="AG5" s="33">
        <v>2.0</v>
      </c>
      <c r="AH5" s="37"/>
      <c r="AI5" s="35">
        <f t="shared" ref="AI5:AI10" si="21">AH5/AG5</f>
        <v>0</v>
      </c>
      <c r="AJ5" s="33">
        <v>2.0</v>
      </c>
      <c r="AK5" s="37"/>
      <c r="AL5" s="35">
        <f t="shared" ref="AL5:AL10" si="22">AK5/AJ5</f>
        <v>0</v>
      </c>
      <c r="AM5" s="37">
        <f t="shared" ref="AM5:AN5" si="4">AD5+AG5+AJ5</f>
        <v>6</v>
      </c>
      <c r="AN5" s="37">
        <f t="shared" si="4"/>
        <v>0</v>
      </c>
      <c r="AO5" s="35">
        <f t="shared" ref="AO5:AO10" si="24">AN5/AM5</f>
        <v>0</v>
      </c>
      <c r="AP5" s="33">
        <v>2.0</v>
      </c>
      <c r="AQ5" s="37"/>
      <c r="AR5" s="35">
        <f t="shared" ref="AR5:AR10" si="25">AQ5/AP5</f>
        <v>0</v>
      </c>
      <c r="AS5" s="33">
        <v>2.0</v>
      </c>
      <c r="AT5" s="37"/>
      <c r="AU5" s="35">
        <f t="shared" ref="AU5:AU10" si="26">AT5/AS5</f>
        <v>0</v>
      </c>
      <c r="AV5" s="33">
        <v>2.0</v>
      </c>
      <c r="AW5" s="37"/>
      <c r="AX5" s="35">
        <f t="shared" ref="AX5:AX10" si="27">AW5/AV5</f>
        <v>0</v>
      </c>
      <c r="AY5" s="37">
        <f t="shared" ref="AY5:AZ5" si="5">AP5+AS5+AV5</f>
        <v>6</v>
      </c>
      <c r="AZ5" s="37">
        <f t="shared" si="5"/>
        <v>0</v>
      </c>
      <c r="BA5" s="35">
        <f t="shared" ref="BA5:BA10" si="29">AZ5/AY5</f>
        <v>0</v>
      </c>
      <c r="BB5" s="37">
        <f t="shared" ref="BB5:BC5" si="6">AM5+AY5</f>
        <v>12</v>
      </c>
      <c r="BC5" s="37">
        <f t="shared" si="6"/>
        <v>0</v>
      </c>
      <c r="BD5" s="35">
        <f t="shared" ref="BD5:BD10" si="31">BC5/BB5</f>
        <v>0</v>
      </c>
      <c r="BE5" s="37">
        <f t="shared" ref="BE5:BF5" si="7">BB5+AA5</f>
        <v>24</v>
      </c>
      <c r="BF5" s="38">
        <f t="shared" si="7"/>
        <v>7.6216</v>
      </c>
      <c r="BG5" s="35">
        <f t="shared" ref="BG5:BG10" si="33">BF5/BE5</f>
        <v>0.3175666667</v>
      </c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</row>
    <row r="6">
      <c r="A6" s="1"/>
      <c r="B6" s="32" t="s">
        <v>90</v>
      </c>
      <c r="C6" s="33">
        <v>1.2</v>
      </c>
      <c r="D6" s="33">
        <v>1.22</v>
      </c>
      <c r="E6" s="35">
        <f t="shared" si="8"/>
        <v>1.016666667</v>
      </c>
      <c r="F6" s="33">
        <v>1.2</v>
      </c>
      <c r="G6" s="33">
        <v>1.98</v>
      </c>
      <c r="H6" s="35">
        <f t="shared" si="9"/>
        <v>1.65</v>
      </c>
      <c r="I6" s="33">
        <v>1.2</v>
      </c>
      <c r="J6" s="33">
        <f>1.095+0.018</f>
        <v>1.113</v>
      </c>
      <c r="K6" s="35">
        <f t="shared" si="10"/>
        <v>0.9275</v>
      </c>
      <c r="L6" s="37">
        <f t="shared" ref="L6:M6" si="11">C6+F6+I6</f>
        <v>3.6</v>
      </c>
      <c r="M6" s="38">
        <f t="shared" si="11"/>
        <v>4.313</v>
      </c>
      <c r="N6" s="35">
        <f t="shared" si="12"/>
        <v>1.198055556</v>
      </c>
      <c r="O6" s="33">
        <v>1.2</v>
      </c>
      <c r="P6" s="33">
        <v>1.9</v>
      </c>
      <c r="Q6" s="35">
        <f t="shared" si="13"/>
        <v>1.583333333</v>
      </c>
      <c r="R6" s="33">
        <v>1.2</v>
      </c>
      <c r="S6" s="33"/>
      <c r="T6" s="35">
        <f t="shared" si="14"/>
        <v>0</v>
      </c>
      <c r="U6" s="33">
        <v>1.2</v>
      </c>
      <c r="V6" s="37"/>
      <c r="W6" s="35">
        <f t="shared" si="15"/>
        <v>0</v>
      </c>
      <c r="X6" s="37">
        <f t="shared" ref="X6:Y6" si="16">O6+R6+U6</f>
        <v>3.6</v>
      </c>
      <c r="Y6" s="37">
        <f t="shared" si="16"/>
        <v>1.9</v>
      </c>
      <c r="Z6" s="35">
        <f t="shared" si="17"/>
        <v>0.5277777778</v>
      </c>
      <c r="AA6" s="37">
        <f t="shared" ref="AA6:AB6" si="18">L6+X6</f>
        <v>7.2</v>
      </c>
      <c r="AB6" s="38">
        <f t="shared" si="18"/>
        <v>6.213</v>
      </c>
      <c r="AC6" s="35">
        <f t="shared" si="19"/>
        <v>0.8629166667</v>
      </c>
      <c r="AD6" s="33">
        <v>1.2</v>
      </c>
      <c r="AE6" s="37"/>
      <c r="AF6" s="35">
        <f t="shared" si="20"/>
        <v>0</v>
      </c>
      <c r="AG6" s="33">
        <v>1.2</v>
      </c>
      <c r="AH6" s="37"/>
      <c r="AI6" s="35">
        <f t="shared" si="21"/>
        <v>0</v>
      </c>
      <c r="AJ6" s="33">
        <v>1.2</v>
      </c>
      <c r="AK6" s="37"/>
      <c r="AL6" s="35">
        <f t="shared" si="22"/>
        <v>0</v>
      </c>
      <c r="AM6" s="37">
        <f t="shared" ref="AM6:AN6" si="23">AD6+AG6+AJ6</f>
        <v>3.6</v>
      </c>
      <c r="AN6" s="37">
        <f t="shared" si="23"/>
        <v>0</v>
      </c>
      <c r="AO6" s="35">
        <f t="shared" si="24"/>
        <v>0</v>
      </c>
      <c r="AP6" s="33">
        <v>1.2</v>
      </c>
      <c r="AQ6" s="37"/>
      <c r="AR6" s="35">
        <f t="shared" si="25"/>
        <v>0</v>
      </c>
      <c r="AS6" s="33">
        <v>1.2</v>
      </c>
      <c r="AT6" s="37"/>
      <c r="AU6" s="35">
        <f t="shared" si="26"/>
        <v>0</v>
      </c>
      <c r="AV6" s="33">
        <v>1.2</v>
      </c>
      <c r="AW6" s="37"/>
      <c r="AX6" s="35">
        <f t="shared" si="27"/>
        <v>0</v>
      </c>
      <c r="AY6" s="37">
        <f t="shared" ref="AY6:AZ6" si="28">AP6+AS6+AV6</f>
        <v>3.6</v>
      </c>
      <c r="AZ6" s="37">
        <f t="shared" si="28"/>
        <v>0</v>
      </c>
      <c r="BA6" s="35">
        <f t="shared" si="29"/>
        <v>0</v>
      </c>
      <c r="BB6" s="37">
        <f t="shared" ref="BB6:BC6" si="30">AM6+AY6</f>
        <v>7.2</v>
      </c>
      <c r="BC6" s="37">
        <f t="shared" si="30"/>
        <v>0</v>
      </c>
      <c r="BD6" s="35">
        <f t="shared" si="31"/>
        <v>0</v>
      </c>
      <c r="BE6" s="37">
        <f t="shared" ref="BE6:BF6" si="32">BB6+AA6</f>
        <v>14.4</v>
      </c>
      <c r="BF6" s="38">
        <f t="shared" si="32"/>
        <v>6.213</v>
      </c>
      <c r="BG6" s="35">
        <f t="shared" si="33"/>
        <v>0.4314583333</v>
      </c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</row>
    <row r="7">
      <c r="A7" s="1"/>
      <c r="B7" s="32" t="s">
        <v>105</v>
      </c>
      <c r="C7" s="33">
        <v>1.0</v>
      </c>
      <c r="D7" s="33">
        <v>2.12</v>
      </c>
      <c r="E7" s="35">
        <f t="shared" si="8"/>
        <v>2.12</v>
      </c>
      <c r="F7" s="33">
        <v>1.0</v>
      </c>
      <c r="G7" s="33">
        <v>1.06</v>
      </c>
      <c r="H7" s="35">
        <f t="shared" si="9"/>
        <v>1.06</v>
      </c>
      <c r="I7" s="33">
        <v>1.0</v>
      </c>
      <c r="J7" s="36">
        <f>1.42+0.095</f>
        <v>1.515</v>
      </c>
      <c r="K7" s="35">
        <f t="shared" si="10"/>
        <v>1.515</v>
      </c>
      <c r="L7" s="37">
        <f t="shared" ref="L7:M7" si="34">C7+F7+I7</f>
        <v>3</v>
      </c>
      <c r="M7" s="38">
        <f t="shared" si="34"/>
        <v>4.695</v>
      </c>
      <c r="N7" s="35">
        <f t="shared" si="12"/>
        <v>1.565</v>
      </c>
      <c r="O7" s="33">
        <v>1.0</v>
      </c>
      <c r="P7" s="33">
        <f>1.87+0.018</f>
        <v>1.888</v>
      </c>
      <c r="Q7" s="35">
        <f t="shared" si="13"/>
        <v>1.888</v>
      </c>
      <c r="R7" s="33">
        <v>1.0</v>
      </c>
      <c r="S7" s="33"/>
      <c r="T7" s="35">
        <f t="shared" si="14"/>
        <v>0</v>
      </c>
      <c r="U7" s="33">
        <v>1.0</v>
      </c>
      <c r="V7" s="37"/>
      <c r="W7" s="35">
        <f t="shared" si="15"/>
        <v>0</v>
      </c>
      <c r="X7" s="37">
        <f t="shared" ref="X7:Y7" si="35">O7+R7+U7</f>
        <v>3</v>
      </c>
      <c r="Y7" s="37">
        <f t="shared" si="35"/>
        <v>1.888</v>
      </c>
      <c r="Z7" s="35">
        <f t="shared" si="17"/>
        <v>0.6293333333</v>
      </c>
      <c r="AA7" s="37">
        <f t="shared" ref="AA7:AB7" si="36">L7+X7</f>
        <v>6</v>
      </c>
      <c r="AB7" s="38">
        <f t="shared" si="36"/>
        <v>6.583</v>
      </c>
      <c r="AC7" s="35">
        <f t="shared" si="19"/>
        <v>1.097166667</v>
      </c>
      <c r="AD7" s="33">
        <v>1.0</v>
      </c>
      <c r="AE7" s="37"/>
      <c r="AF7" s="35">
        <f t="shared" si="20"/>
        <v>0</v>
      </c>
      <c r="AG7" s="33">
        <v>1.0</v>
      </c>
      <c r="AH7" s="37"/>
      <c r="AI7" s="35">
        <f t="shared" si="21"/>
        <v>0</v>
      </c>
      <c r="AJ7" s="33">
        <v>1.0</v>
      </c>
      <c r="AK7" s="37"/>
      <c r="AL7" s="35">
        <f t="shared" si="22"/>
        <v>0</v>
      </c>
      <c r="AM7" s="37">
        <f t="shared" ref="AM7:AN7" si="37">AD7+AG7+AJ7</f>
        <v>3</v>
      </c>
      <c r="AN7" s="37">
        <f t="shared" si="37"/>
        <v>0</v>
      </c>
      <c r="AO7" s="35">
        <f t="shared" si="24"/>
        <v>0</v>
      </c>
      <c r="AP7" s="33">
        <v>1.0</v>
      </c>
      <c r="AQ7" s="37"/>
      <c r="AR7" s="35">
        <f t="shared" si="25"/>
        <v>0</v>
      </c>
      <c r="AS7" s="33">
        <v>1.0</v>
      </c>
      <c r="AT7" s="37"/>
      <c r="AU7" s="35">
        <f t="shared" si="26"/>
        <v>0</v>
      </c>
      <c r="AV7" s="33">
        <v>1.0</v>
      </c>
      <c r="AW7" s="37"/>
      <c r="AX7" s="35">
        <f t="shared" si="27"/>
        <v>0</v>
      </c>
      <c r="AY7" s="37">
        <f t="shared" ref="AY7:AZ7" si="38">AP7+AS7+AV7</f>
        <v>3</v>
      </c>
      <c r="AZ7" s="37">
        <f t="shared" si="38"/>
        <v>0</v>
      </c>
      <c r="BA7" s="35">
        <f t="shared" si="29"/>
        <v>0</v>
      </c>
      <c r="BB7" s="37">
        <f t="shared" ref="BB7:BC7" si="39">AM7+AY7</f>
        <v>6</v>
      </c>
      <c r="BC7" s="37">
        <f t="shared" si="39"/>
        <v>0</v>
      </c>
      <c r="BD7" s="35">
        <f t="shared" si="31"/>
        <v>0</v>
      </c>
      <c r="BE7" s="37">
        <f t="shared" ref="BE7:BF7" si="40">BB7+AA7</f>
        <v>12</v>
      </c>
      <c r="BF7" s="38">
        <f t="shared" si="40"/>
        <v>6.583</v>
      </c>
      <c r="BG7" s="35">
        <f t="shared" si="33"/>
        <v>0.5485833333</v>
      </c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</row>
    <row r="8">
      <c r="A8" s="1"/>
      <c r="B8" s="32" t="s">
        <v>122</v>
      </c>
      <c r="C8" s="33">
        <v>0.5</v>
      </c>
      <c r="D8" s="33">
        <v>0.23</v>
      </c>
      <c r="E8" s="35">
        <f t="shared" si="8"/>
        <v>0.46</v>
      </c>
      <c r="F8" s="33">
        <v>0.5</v>
      </c>
      <c r="G8" s="33">
        <v>0.1</v>
      </c>
      <c r="H8" s="35">
        <f t="shared" si="9"/>
        <v>0.2</v>
      </c>
      <c r="I8" s="33">
        <v>0.5</v>
      </c>
      <c r="J8" s="33">
        <v>0.3</v>
      </c>
      <c r="K8" s="35">
        <f t="shared" si="10"/>
        <v>0.6</v>
      </c>
      <c r="L8" s="37">
        <f t="shared" ref="L8:M8" si="41">C8+F8+I8</f>
        <v>1.5</v>
      </c>
      <c r="M8" s="38">
        <f t="shared" si="41"/>
        <v>0.63</v>
      </c>
      <c r="N8" s="35">
        <f t="shared" si="12"/>
        <v>0.42</v>
      </c>
      <c r="O8" s="33">
        <v>0.5</v>
      </c>
      <c r="P8" s="33">
        <v>0.47</v>
      </c>
      <c r="Q8" s="35">
        <f t="shared" si="13"/>
        <v>0.94</v>
      </c>
      <c r="R8" s="33">
        <v>0.5</v>
      </c>
      <c r="S8" s="33"/>
      <c r="T8" s="35">
        <f t="shared" si="14"/>
        <v>0</v>
      </c>
      <c r="U8" s="33">
        <v>0.5</v>
      </c>
      <c r="V8" s="37"/>
      <c r="W8" s="35">
        <f t="shared" si="15"/>
        <v>0</v>
      </c>
      <c r="X8" s="37">
        <f t="shared" ref="X8:Y8" si="42">O8+R8+U8</f>
        <v>1.5</v>
      </c>
      <c r="Y8" s="37">
        <f t="shared" si="42"/>
        <v>0.47</v>
      </c>
      <c r="Z8" s="35">
        <f t="shared" si="17"/>
        <v>0.3133333333</v>
      </c>
      <c r="AA8" s="37">
        <f t="shared" ref="AA8:AB8" si="43">L8+X8</f>
        <v>3</v>
      </c>
      <c r="AB8" s="38">
        <f t="shared" si="43"/>
        <v>1.1</v>
      </c>
      <c r="AC8" s="35">
        <f t="shared" si="19"/>
        <v>0.3666666667</v>
      </c>
      <c r="AD8" s="33">
        <v>0.5</v>
      </c>
      <c r="AE8" s="37"/>
      <c r="AF8" s="35">
        <f t="shared" si="20"/>
        <v>0</v>
      </c>
      <c r="AG8" s="33">
        <v>0.5</v>
      </c>
      <c r="AH8" s="37"/>
      <c r="AI8" s="35">
        <f t="shared" si="21"/>
        <v>0</v>
      </c>
      <c r="AJ8" s="33">
        <v>0.5</v>
      </c>
      <c r="AK8" s="37"/>
      <c r="AL8" s="35">
        <f t="shared" si="22"/>
        <v>0</v>
      </c>
      <c r="AM8" s="37">
        <f t="shared" ref="AM8:AN8" si="44">AD8+AG8+AJ8</f>
        <v>1.5</v>
      </c>
      <c r="AN8" s="37">
        <f t="shared" si="44"/>
        <v>0</v>
      </c>
      <c r="AO8" s="35">
        <f t="shared" si="24"/>
        <v>0</v>
      </c>
      <c r="AP8" s="33">
        <v>0.5</v>
      </c>
      <c r="AQ8" s="37"/>
      <c r="AR8" s="35">
        <f t="shared" si="25"/>
        <v>0</v>
      </c>
      <c r="AS8" s="33">
        <v>0.5</v>
      </c>
      <c r="AT8" s="37"/>
      <c r="AU8" s="35">
        <f t="shared" si="26"/>
        <v>0</v>
      </c>
      <c r="AV8" s="33">
        <v>0.5</v>
      </c>
      <c r="AW8" s="37"/>
      <c r="AX8" s="35">
        <f t="shared" si="27"/>
        <v>0</v>
      </c>
      <c r="AY8" s="37">
        <f t="shared" ref="AY8:AZ8" si="45">AP8+AS8+AV8</f>
        <v>1.5</v>
      </c>
      <c r="AZ8" s="37">
        <f t="shared" si="45"/>
        <v>0</v>
      </c>
      <c r="BA8" s="35">
        <f t="shared" si="29"/>
        <v>0</v>
      </c>
      <c r="BB8" s="37">
        <f t="shared" ref="BB8:BC8" si="46">AM8+AY8</f>
        <v>3</v>
      </c>
      <c r="BC8" s="37">
        <f t="shared" si="46"/>
        <v>0</v>
      </c>
      <c r="BD8" s="35">
        <f t="shared" si="31"/>
        <v>0</v>
      </c>
      <c r="BE8" s="37">
        <f t="shared" ref="BE8:BF8" si="47">BB8+AA8</f>
        <v>6</v>
      </c>
      <c r="BF8" s="38">
        <f t="shared" si="47"/>
        <v>1.1</v>
      </c>
      <c r="BG8" s="35">
        <f t="shared" si="33"/>
        <v>0.1833333333</v>
      </c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</row>
    <row r="9">
      <c r="A9" s="1"/>
      <c r="B9" s="32" t="s">
        <v>131</v>
      </c>
      <c r="C9" s="33">
        <v>1.5</v>
      </c>
      <c r="D9" s="37"/>
      <c r="E9" s="35">
        <f t="shared" si="8"/>
        <v>0</v>
      </c>
      <c r="F9" s="33">
        <v>1.5</v>
      </c>
      <c r="G9" s="37"/>
      <c r="H9" s="35">
        <f t="shared" si="9"/>
        <v>0</v>
      </c>
      <c r="I9" s="33">
        <v>1.5</v>
      </c>
      <c r="J9" s="33">
        <f>0.405+0.067</f>
        <v>0.472</v>
      </c>
      <c r="K9" s="35">
        <f t="shared" si="10"/>
        <v>0.3146666667</v>
      </c>
      <c r="L9" s="37">
        <f t="shared" ref="L9:M9" si="48">C9+F9+I9</f>
        <v>4.5</v>
      </c>
      <c r="M9" s="38">
        <f t="shared" si="48"/>
        <v>0.472</v>
      </c>
      <c r="N9" s="35">
        <f t="shared" si="12"/>
        <v>0.1048888889</v>
      </c>
      <c r="O9" s="33">
        <v>1.5</v>
      </c>
      <c r="P9" s="33">
        <v>0.21</v>
      </c>
      <c r="Q9" s="35">
        <f t="shared" si="13"/>
        <v>0.14</v>
      </c>
      <c r="R9" s="33">
        <v>1.5</v>
      </c>
      <c r="S9" s="33"/>
      <c r="T9" s="35">
        <f t="shared" si="14"/>
        <v>0</v>
      </c>
      <c r="U9" s="33">
        <v>1.5</v>
      </c>
      <c r="V9" s="37"/>
      <c r="W9" s="35">
        <f t="shared" si="15"/>
        <v>0</v>
      </c>
      <c r="X9" s="37">
        <f t="shared" ref="X9:Y9" si="49">O9+R9+U9</f>
        <v>4.5</v>
      </c>
      <c r="Y9" s="37">
        <f t="shared" si="49"/>
        <v>0.21</v>
      </c>
      <c r="Z9" s="35">
        <f t="shared" si="17"/>
        <v>0.04666666667</v>
      </c>
      <c r="AA9" s="37">
        <f t="shared" ref="AA9:AB9" si="50">L9+X9</f>
        <v>9</v>
      </c>
      <c r="AB9" s="38">
        <f t="shared" si="50"/>
        <v>0.682</v>
      </c>
      <c r="AC9" s="35">
        <f t="shared" si="19"/>
        <v>0.07577777778</v>
      </c>
      <c r="AD9" s="33">
        <v>1.5</v>
      </c>
      <c r="AE9" s="37"/>
      <c r="AF9" s="35">
        <f t="shared" si="20"/>
        <v>0</v>
      </c>
      <c r="AG9" s="33">
        <v>1.5</v>
      </c>
      <c r="AH9" s="37"/>
      <c r="AI9" s="35">
        <f t="shared" si="21"/>
        <v>0</v>
      </c>
      <c r="AJ9" s="33">
        <v>1.5</v>
      </c>
      <c r="AK9" s="37"/>
      <c r="AL9" s="35">
        <f t="shared" si="22"/>
        <v>0</v>
      </c>
      <c r="AM9" s="37">
        <f t="shared" ref="AM9:AN9" si="51">AD9+AG9+AJ9</f>
        <v>4.5</v>
      </c>
      <c r="AN9" s="37">
        <f t="shared" si="51"/>
        <v>0</v>
      </c>
      <c r="AO9" s="35">
        <f t="shared" si="24"/>
        <v>0</v>
      </c>
      <c r="AP9" s="33">
        <v>1.5</v>
      </c>
      <c r="AQ9" s="37"/>
      <c r="AR9" s="35">
        <f t="shared" si="25"/>
        <v>0</v>
      </c>
      <c r="AS9" s="33">
        <v>1.5</v>
      </c>
      <c r="AT9" s="37"/>
      <c r="AU9" s="35">
        <f t="shared" si="26"/>
        <v>0</v>
      </c>
      <c r="AV9" s="33">
        <v>1.5</v>
      </c>
      <c r="AW9" s="37"/>
      <c r="AX9" s="35">
        <f t="shared" si="27"/>
        <v>0</v>
      </c>
      <c r="AY9" s="37">
        <f t="shared" ref="AY9:AZ9" si="52">AP9+AS9+AV9</f>
        <v>4.5</v>
      </c>
      <c r="AZ9" s="37">
        <f t="shared" si="52"/>
        <v>0</v>
      </c>
      <c r="BA9" s="35">
        <f t="shared" si="29"/>
        <v>0</v>
      </c>
      <c r="BB9" s="37">
        <f t="shared" ref="BB9:BC9" si="53">AM9+AY9</f>
        <v>9</v>
      </c>
      <c r="BC9" s="37">
        <f t="shared" si="53"/>
        <v>0</v>
      </c>
      <c r="BD9" s="35">
        <f t="shared" si="31"/>
        <v>0</v>
      </c>
      <c r="BE9" s="37">
        <f t="shared" ref="BE9:BF9" si="54">BB9+AA9</f>
        <v>18</v>
      </c>
      <c r="BF9" s="38">
        <f t="shared" si="54"/>
        <v>0.682</v>
      </c>
      <c r="BG9" s="35">
        <f t="shared" si="33"/>
        <v>0.03788888889</v>
      </c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</row>
    <row r="10">
      <c r="A10" s="45"/>
      <c r="B10" s="46" t="s">
        <v>111</v>
      </c>
      <c r="C10" s="47">
        <f t="shared" ref="C10:D10" si="55">SUM(C5:C9)</f>
        <v>6.2</v>
      </c>
      <c r="D10" s="47">
        <f t="shared" si="55"/>
        <v>5.3</v>
      </c>
      <c r="E10" s="48">
        <f t="shared" si="8"/>
        <v>0.8548387097</v>
      </c>
      <c r="F10" s="47">
        <f t="shared" ref="F10:G10" si="56">SUM(F5:F9)</f>
        <v>6.2</v>
      </c>
      <c r="G10" s="47">
        <f t="shared" si="56"/>
        <v>3.37</v>
      </c>
      <c r="H10" s="48">
        <f t="shared" si="9"/>
        <v>0.5435483871</v>
      </c>
      <c r="I10" s="47">
        <f t="shared" ref="I10:J10" si="57">SUM(I5:I9)</f>
        <v>6.2</v>
      </c>
      <c r="J10" s="49">
        <f t="shared" si="57"/>
        <v>3.8516</v>
      </c>
      <c r="K10" s="48">
        <f t="shared" si="10"/>
        <v>0.6212258065</v>
      </c>
      <c r="L10" s="47">
        <f t="shared" ref="L10:M10" si="58">SUM(L5:L9)</f>
        <v>18.6</v>
      </c>
      <c r="M10" s="49">
        <f t="shared" si="58"/>
        <v>12.5216</v>
      </c>
      <c r="N10" s="48">
        <f t="shared" si="12"/>
        <v>0.6732043011</v>
      </c>
      <c r="O10" s="47">
        <f t="shared" ref="O10:P10" si="59">SUM(O5:O9)</f>
        <v>6.2</v>
      </c>
      <c r="P10" s="47">
        <f t="shared" si="59"/>
        <v>9.678</v>
      </c>
      <c r="Q10" s="48">
        <f t="shared" si="13"/>
        <v>1.560967742</v>
      </c>
      <c r="R10" s="47">
        <f t="shared" ref="R10:S10" si="60">SUM(R5:R9)</f>
        <v>6.2</v>
      </c>
      <c r="S10" s="47">
        <f t="shared" si="60"/>
        <v>0</v>
      </c>
      <c r="T10" s="48">
        <f t="shared" si="14"/>
        <v>0</v>
      </c>
      <c r="U10" s="47">
        <f t="shared" ref="U10:V10" si="61">SUM(U5:U9)</f>
        <v>6.2</v>
      </c>
      <c r="V10" s="47">
        <f t="shared" si="61"/>
        <v>0</v>
      </c>
      <c r="W10" s="48">
        <f t="shared" si="15"/>
        <v>0</v>
      </c>
      <c r="X10" s="47">
        <f t="shared" ref="X10:Y10" si="62">SUM(X5:X9)</f>
        <v>18.6</v>
      </c>
      <c r="Y10" s="47">
        <f t="shared" si="62"/>
        <v>9.678</v>
      </c>
      <c r="Z10" s="48">
        <f t="shared" si="17"/>
        <v>0.5203225806</v>
      </c>
      <c r="AA10" s="47">
        <f t="shared" ref="AA10:AB10" si="63">SUM(AA5:AA9)</f>
        <v>37.2</v>
      </c>
      <c r="AB10" s="49">
        <f t="shared" si="63"/>
        <v>22.1996</v>
      </c>
      <c r="AC10" s="48">
        <f t="shared" si="19"/>
        <v>0.5967634409</v>
      </c>
      <c r="AD10" s="47">
        <f t="shared" ref="AD10:AE10" si="64">SUM(AD5:AD9)</f>
        <v>6.2</v>
      </c>
      <c r="AE10" s="47">
        <f t="shared" si="64"/>
        <v>0</v>
      </c>
      <c r="AF10" s="48">
        <f t="shared" si="20"/>
        <v>0</v>
      </c>
      <c r="AG10" s="47">
        <f t="shared" ref="AG10:AH10" si="65">SUM(AG5:AG9)</f>
        <v>6.2</v>
      </c>
      <c r="AH10" s="47">
        <f t="shared" si="65"/>
        <v>0</v>
      </c>
      <c r="AI10" s="48">
        <f t="shared" si="21"/>
        <v>0</v>
      </c>
      <c r="AJ10" s="47">
        <f t="shared" ref="AJ10:AK10" si="66">SUM(AJ5:AJ9)</f>
        <v>6.2</v>
      </c>
      <c r="AK10" s="47">
        <f t="shared" si="66"/>
        <v>0</v>
      </c>
      <c r="AL10" s="48">
        <f t="shared" si="22"/>
        <v>0</v>
      </c>
      <c r="AM10" s="47">
        <f t="shared" ref="AM10:AN10" si="67">SUM(AM5:AM9)</f>
        <v>18.6</v>
      </c>
      <c r="AN10" s="47">
        <f t="shared" si="67"/>
        <v>0</v>
      </c>
      <c r="AO10" s="48">
        <f t="shared" si="24"/>
        <v>0</v>
      </c>
      <c r="AP10" s="47">
        <f t="shared" ref="AP10:AQ10" si="68">SUM(AP5:AP9)</f>
        <v>6.2</v>
      </c>
      <c r="AQ10" s="47">
        <f t="shared" si="68"/>
        <v>0</v>
      </c>
      <c r="AR10" s="48">
        <f t="shared" si="25"/>
        <v>0</v>
      </c>
      <c r="AS10" s="47">
        <f t="shared" ref="AS10:AT10" si="69">SUM(AS5:AS9)</f>
        <v>6.2</v>
      </c>
      <c r="AT10" s="47">
        <f t="shared" si="69"/>
        <v>0</v>
      </c>
      <c r="AU10" s="48">
        <f t="shared" si="26"/>
        <v>0</v>
      </c>
      <c r="AV10" s="47">
        <f t="shared" ref="AV10:AW10" si="70">SUM(AV5:AV9)</f>
        <v>6.2</v>
      </c>
      <c r="AW10" s="47">
        <f t="shared" si="70"/>
        <v>0</v>
      </c>
      <c r="AX10" s="48">
        <f t="shared" si="27"/>
        <v>0</v>
      </c>
      <c r="AY10" s="47">
        <f t="shared" ref="AY10:AZ10" si="71">SUM(AY5:AY9)</f>
        <v>18.6</v>
      </c>
      <c r="AZ10" s="47">
        <f t="shared" si="71"/>
        <v>0</v>
      </c>
      <c r="BA10" s="48">
        <f t="shared" si="29"/>
        <v>0</v>
      </c>
      <c r="BB10" s="47">
        <f t="shared" ref="BB10:BC10" si="72">SUM(BB5:BB9)</f>
        <v>37.2</v>
      </c>
      <c r="BC10" s="47">
        <f t="shared" si="72"/>
        <v>0</v>
      </c>
      <c r="BD10" s="48">
        <f t="shared" si="31"/>
        <v>0</v>
      </c>
      <c r="BE10" s="47">
        <f t="shared" ref="BE10:BF10" si="73">SUM(BE5:BE9)</f>
        <v>74.4</v>
      </c>
      <c r="BF10" s="49">
        <f t="shared" si="73"/>
        <v>22.1996</v>
      </c>
      <c r="BG10" s="48">
        <f t="shared" si="33"/>
        <v>0.2983817204</v>
      </c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51">
        <f>AA10-AB10</f>
        <v>15.0004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5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5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5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5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5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</row>
  </sheetData>
  <mergeCells count="19">
    <mergeCell ref="C3:E3"/>
    <mergeCell ref="F3:H3"/>
    <mergeCell ref="I3:K3"/>
    <mergeCell ref="L3:N3"/>
    <mergeCell ref="O3:Q3"/>
    <mergeCell ref="R3:T3"/>
    <mergeCell ref="U3:W3"/>
    <mergeCell ref="AS3:AU3"/>
    <mergeCell ref="AV3:AX3"/>
    <mergeCell ref="AY3:BA3"/>
    <mergeCell ref="BB3:BD3"/>
    <mergeCell ref="BE3:BG3"/>
    <mergeCell ref="X3:Z3"/>
    <mergeCell ref="AA3:AC3"/>
    <mergeCell ref="AD3:AF3"/>
    <mergeCell ref="AG3:AI3"/>
    <mergeCell ref="AJ3:AL3"/>
    <mergeCell ref="AM3:AO3"/>
    <mergeCell ref="AP3:AR3"/>
  </mergeCells>
  <conditionalFormatting sqref="C3:CC3">
    <cfRule type="notContainsBlanks" dxfId="0" priority="1">
      <formula>LEN(TRIM(C3))&gt;0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6" max="56" width="12.63"/>
  </cols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</row>
    <row r="2">
      <c r="A2" s="53"/>
      <c r="B2" s="55" t="s">
        <v>151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</row>
    <row r="3">
      <c r="A3" s="53"/>
      <c r="B3" s="56"/>
      <c r="C3" s="57">
        <v>46113.0</v>
      </c>
      <c r="D3" s="25"/>
      <c r="E3" s="11"/>
      <c r="F3" s="57">
        <v>46143.0</v>
      </c>
      <c r="G3" s="25"/>
      <c r="H3" s="11"/>
      <c r="I3" s="57">
        <v>46174.0</v>
      </c>
      <c r="J3" s="25"/>
      <c r="K3" s="11"/>
      <c r="L3" s="58" t="s">
        <v>24</v>
      </c>
      <c r="M3" s="25"/>
      <c r="N3" s="11"/>
      <c r="O3" s="57">
        <v>46204.0</v>
      </c>
      <c r="P3" s="25"/>
      <c r="Q3" s="11"/>
      <c r="R3" s="57">
        <v>46235.0</v>
      </c>
      <c r="S3" s="25"/>
      <c r="T3" s="11"/>
      <c r="U3" s="57">
        <v>46266.0</v>
      </c>
      <c r="V3" s="25"/>
      <c r="W3" s="11"/>
      <c r="X3" s="58" t="s">
        <v>29</v>
      </c>
      <c r="Y3" s="25"/>
      <c r="Z3" s="11"/>
      <c r="AA3" s="58" t="s">
        <v>31</v>
      </c>
      <c r="AB3" s="25"/>
      <c r="AC3" s="11"/>
      <c r="AD3" s="57">
        <v>46296.0</v>
      </c>
      <c r="AE3" s="25"/>
      <c r="AF3" s="11"/>
      <c r="AG3" s="57">
        <v>46327.0</v>
      </c>
      <c r="AH3" s="25"/>
      <c r="AI3" s="11"/>
      <c r="AJ3" s="57">
        <v>46357.0</v>
      </c>
      <c r="AK3" s="25"/>
      <c r="AL3" s="11"/>
      <c r="AM3" s="58" t="s">
        <v>33</v>
      </c>
      <c r="AN3" s="25"/>
      <c r="AO3" s="11"/>
      <c r="AP3" s="57">
        <v>46388.0</v>
      </c>
      <c r="AQ3" s="25"/>
      <c r="AR3" s="11"/>
      <c r="AS3" s="57">
        <v>46419.0</v>
      </c>
      <c r="AT3" s="25"/>
      <c r="AU3" s="11"/>
      <c r="AV3" s="57">
        <v>46447.0</v>
      </c>
      <c r="AW3" s="25"/>
      <c r="AX3" s="11"/>
      <c r="AY3" s="58" t="s">
        <v>37</v>
      </c>
      <c r="AZ3" s="25"/>
      <c r="BA3" s="11"/>
      <c r="BB3" s="58" t="s">
        <v>39</v>
      </c>
      <c r="BC3" s="25"/>
      <c r="BD3" s="11"/>
      <c r="BE3" s="58" t="s">
        <v>42</v>
      </c>
      <c r="BF3" s="25"/>
      <c r="BG3" s="11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</row>
    <row r="4">
      <c r="A4" s="53"/>
      <c r="B4" s="59" t="s">
        <v>2</v>
      </c>
      <c r="C4" s="60" t="s">
        <v>48</v>
      </c>
      <c r="D4" s="60" t="s">
        <v>49</v>
      </c>
      <c r="E4" s="60" t="s">
        <v>51</v>
      </c>
      <c r="F4" s="60" t="s">
        <v>48</v>
      </c>
      <c r="G4" s="60" t="s">
        <v>49</v>
      </c>
      <c r="H4" s="60" t="s">
        <v>51</v>
      </c>
      <c r="I4" s="60" t="s">
        <v>48</v>
      </c>
      <c r="J4" s="60" t="s">
        <v>49</v>
      </c>
      <c r="K4" s="60" t="s">
        <v>51</v>
      </c>
      <c r="L4" s="60" t="s">
        <v>48</v>
      </c>
      <c r="M4" s="60" t="s">
        <v>49</v>
      </c>
      <c r="N4" s="60" t="s">
        <v>51</v>
      </c>
      <c r="O4" s="60" t="s">
        <v>48</v>
      </c>
      <c r="P4" s="60" t="s">
        <v>49</v>
      </c>
      <c r="Q4" s="60" t="s">
        <v>51</v>
      </c>
      <c r="R4" s="60" t="s">
        <v>48</v>
      </c>
      <c r="S4" s="60" t="s">
        <v>49</v>
      </c>
      <c r="T4" s="60" t="s">
        <v>51</v>
      </c>
      <c r="U4" s="60" t="s">
        <v>48</v>
      </c>
      <c r="V4" s="60" t="s">
        <v>49</v>
      </c>
      <c r="W4" s="60" t="s">
        <v>51</v>
      </c>
      <c r="X4" s="60" t="s">
        <v>48</v>
      </c>
      <c r="Y4" s="60" t="s">
        <v>49</v>
      </c>
      <c r="Z4" s="60" t="s">
        <v>51</v>
      </c>
      <c r="AA4" s="60" t="s">
        <v>48</v>
      </c>
      <c r="AB4" s="60" t="s">
        <v>49</v>
      </c>
      <c r="AC4" s="60" t="s">
        <v>51</v>
      </c>
      <c r="AD4" s="60" t="s">
        <v>48</v>
      </c>
      <c r="AE4" s="60" t="s">
        <v>49</v>
      </c>
      <c r="AF4" s="60" t="s">
        <v>51</v>
      </c>
      <c r="AG4" s="60" t="s">
        <v>48</v>
      </c>
      <c r="AH4" s="60" t="s">
        <v>49</v>
      </c>
      <c r="AI4" s="60" t="s">
        <v>51</v>
      </c>
      <c r="AJ4" s="60" t="s">
        <v>48</v>
      </c>
      <c r="AK4" s="60" t="s">
        <v>49</v>
      </c>
      <c r="AL4" s="60" t="s">
        <v>51</v>
      </c>
      <c r="AM4" s="60" t="s">
        <v>48</v>
      </c>
      <c r="AN4" s="60" t="s">
        <v>49</v>
      </c>
      <c r="AO4" s="60" t="s">
        <v>51</v>
      </c>
      <c r="AP4" s="60" t="s">
        <v>48</v>
      </c>
      <c r="AQ4" s="60" t="s">
        <v>49</v>
      </c>
      <c r="AR4" s="60" t="s">
        <v>51</v>
      </c>
      <c r="AS4" s="60" t="s">
        <v>48</v>
      </c>
      <c r="AT4" s="60" t="s">
        <v>49</v>
      </c>
      <c r="AU4" s="60" t="s">
        <v>51</v>
      </c>
      <c r="AV4" s="60" t="s">
        <v>48</v>
      </c>
      <c r="AW4" s="60" t="s">
        <v>49</v>
      </c>
      <c r="AX4" s="60" t="s">
        <v>51</v>
      </c>
      <c r="AY4" s="60" t="s">
        <v>48</v>
      </c>
      <c r="AZ4" s="60" t="s">
        <v>49</v>
      </c>
      <c r="BA4" s="60" t="s">
        <v>51</v>
      </c>
      <c r="BB4" s="60" t="s">
        <v>48</v>
      </c>
      <c r="BC4" s="60" t="s">
        <v>49</v>
      </c>
      <c r="BD4" s="60" t="s">
        <v>51</v>
      </c>
      <c r="BE4" s="60" t="s">
        <v>48</v>
      </c>
      <c r="BF4" s="60" t="s">
        <v>49</v>
      </c>
      <c r="BG4" s="60" t="s">
        <v>51</v>
      </c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</row>
    <row r="5">
      <c r="A5" s="53"/>
      <c r="B5" s="59" t="s">
        <v>62</v>
      </c>
      <c r="C5" s="61">
        <v>1.6</v>
      </c>
      <c r="D5" s="62"/>
      <c r="E5" s="63">
        <f t="shared" ref="E5:E10" si="8">D5/C5</f>
        <v>0</v>
      </c>
      <c r="F5" s="61">
        <v>1.6</v>
      </c>
      <c r="G5" s="62"/>
      <c r="H5" s="63">
        <f t="shared" ref="H5:H10" si="9">G5/F5</f>
        <v>0</v>
      </c>
      <c r="I5" s="61">
        <v>1.6</v>
      </c>
      <c r="J5" s="62"/>
      <c r="K5" s="63">
        <f t="shared" ref="K5:K10" si="10">J5/I5</f>
        <v>0</v>
      </c>
      <c r="L5" s="60">
        <f t="shared" ref="L5:M5" si="1">C5+F5+I5</f>
        <v>4.8</v>
      </c>
      <c r="M5" s="60">
        <f t="shared" si="1"/>
        <v>0</v>
      </c>
      <c r="N5" s="63">
        <f t="shared" ref="N5:N10" si="12">M5/L5</f>
        <v>0</v>
      </c>
      <c r="O5" s="61">
        <v>1.6</v>
      </c>
      <c r="P5" s="62"/>
      <c r="Q5" s="63">
        <f t="shared" ref="Q5:Q10" si="13">P5/O5</f>
        <v>0</v>
      </c>
      <c r="R5" s="61">
        <v>1.6</v>
      </c>
      <c r="S5" s="62"/>
      <c r="T5" s="63">
        <f t="shared" ref="T5:T10" si="14">S5/R5</f>
        <v>0</v>
      </c>
      <c r="U5" s="61">
        <v>1.6</v>
      </c>
      <c r="V5" s="62"/>
      <c r="W5" s="63">
        <f t="shared" ref="W5:W10" si="15">V5/U5</f>
        <v>0</v>
      </c>
      <c r="X5" s="60">
        <f t="shared" ref="X5:Y5" si="2">O5+R5+U5</f>
        <v>4.8</v>
      </c>
      <c r="Y5" s="60">
        <f t="shared" si="2"/>
        <v>0</v>
      </c>
      <c r="Z5" s="63">
        <f t="shared" ref="Z5:Z10" si="17">Y5/X5</f>
        <v>0</v>
      </c>
      <c r="AA5" s="60">
        <f t="shared" ref="AA5:AB5" si="3">L5+X5</f>
        <v>9.6</v>
      </c>
      <c r="AB5" s="60">
        <f t="shared" si="3"/>
        <v>0</v>
      </c>
      <c r="AC5" s="63">
        <f t="shared" ref="AC5:AC10" si="19">AB5/AA5</f>
        <v>0</v>
      </c>
      <c r="AD5" s="61">
        <v>1.6</v>
      </c>
      <c r="AE5" s="62"/>
      <c r="AF5" s="63">
        <f t="shared" ref="AF5:AF10" si="20">AE5/AD5</f>
        <v>0</v>
      </c>
      <c r="AG5" s="61">
        <v>1.6</v>
      </c>
      <c r="AH5" s="62"/>
      <c r="AI5" s="63">
        <f t="shared" ref="AI5:AI10" si="21">AH5/AG5</f>
        <v>0</v>
      </c>
      <c r="AJ5" s="61">
        <v>1.6</v>
      </c>
      <c r="AK5" s="62"/>
      <c r="AL5" s="63">
        <f t="shared" ref="AL5:AL10" si="22">AK5/AJ5</f>
        <v>0</v>
      </c>
      <c r="AM5" s="60">
        <f t="shared" ref="AM5:AN5" si="4">AD5+AG5+AJ5</f>
        <v>4.8</v>
      </c>
      <c r="AN5" s="60">
        <f t="shared" si="4"/>
        <v>0</v>
      </c>
      <c r="AO5" s="63">
        <f t="shared" ref="AO5:AO10" si="24">AN5/AM5</f>
        <v>0</v>
      </c>
      <c r="AP5" s="61">
        <v>1.6</v>
      </c>
      <c r="AQ5" s="62"/>
      <c r="AR5" s="63">
        <f t="shared" ref="AR5:AR10" si="25">AQ5/AP5</f>
        <v>0</v>
      </c>
      <c r="AS5" s="61">
        <v>1.6</v>
      </c>
      <c r="AT5" s="62"/>
      <c r="AU5" s="63">
        <f t="shared" ref="AU5:AU10" si="26">AT5/AS5</f>
        <v>0</v>
      </c>
      <c r="AV5" s="61">
        <v>1.6</v>
      </c>
      <c r="AW5" s="62"/>
      <c r="AX5" s="63">
        <f t="shared" ref="AX5:AX10" si="27">AW5/AV5</f>
        <v>0</v>
      </c>
      <c r="AY5" s="60">
        <f t="shared" ref="AY5:AZ5" si="5">AP5+AS5+AV5</f>
        <v>4.8</v>
      </c>
      <c r="AZ5" s="60">
        <f t="shared" si="5"/>
        <v>0</v>
      </c>
      <c r="BA5" s="63">
        <f t="shared" ref="BA5:BA10" si="29">AZ5/AY5</f>
        <v>0</v>
      </c>
      <c r="BB5" s="60">
        <f t="shared" ref="BB5:BC5" si="6">AM5+AY5</f>
        <v>9.6</v>
      </c>
      <c r="BC5" s="60">
        <f t="shared" si="6"/>
        <v>0</v>
      </c>
      <c r="BD5" s="63">
        <f t="shared" ref="BD5:BD10" si="31">BC5/BB5</f>
        <v>0</v>
      </c>
      <c r="BE5" s="60">
        <f t="shared" ref="BE5:BF5" si="7">BB5+AA5</f>
        <v>19.2</v>
      </c>
      <c r="BF5" s="60">
        <f t="shared" si="7"/>
        <v>0</v>
      </c>
      <c r="BG5" s="63">
        <f t="shared" ref="BG5:BG10" si="33">BF5/BE5</f>
        <v>0</v>
      </c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</row>
    <row r="6">
      <c r="A6" s="53"/>
      <c r="B6" s="59" t="s">
        <v>90</v>
      </c>
      <c r="C6" s="61">
        <v>0.95</v>
      </c>
      <c r="D6" s="62"/>
      <c r="E6" s="63">
        <f t="shared" si="8"/>
        <v>0</v>
      </c>
      <c r="F6" s="61">
        <v>0.95</v>
      </c>
      <c r="G6" s="62"/>
      <c r="H6" s="63">
        <f t="shared" si="9"/>
        <v>0</v>
      </c>
      <c r="I6" s="61">
        <v>0.95</v>
      </c>
      <c r="J6" s="62"/>
      <c r="K6" s="63">
        <f t="shared" si="10"/>
        <v>0</v>
      </c>
      <c r="L6" s="60">
        <f t="shared" ref="L6:M6" si="11">C6+F6+I6</f>
        <v>2.85</v>
      </c>
      <c r="M6" s="60">
        <f t="shared" si="11"/>
        <v>0</v>
      </c>
      <c r="N6" s="63">
        <f t="shared" si="12"/>
        <v>0</v>
      </c>
      <c r="O6" s="61">
        <v>0.95</v>
      </c>
      <c r="P6" s="62"/>
      <c r="Q6" s="63">
        <f t="shared" si="13"/>
        <v>0</v>
      </c>
      <c r="R6" s="61">
        <v>0.95</v>
      </c>
      <c r="S6" s="62"/>
      <c r="T6" s="63">
        <f t="shared" si="14"/>
        <v>0</v>
      </c>
      <c r="U6" s="61">
        <v>0.95</v>
      </c>
      <c r="V6" s="62"/>
      <c r="W6" s="63">
        <f t="shared" si="15"/>
        <v>0</v>
      </c>
      <c r="X6" s="60">
        <f t="shared" ref="X6:Y6" si="16">O6+R6+U6</f>
        <v>2.85</v>
      </c>
      <c r="Y6" s="60">
        <f t="shared" si="16"/>
        <v>0</v>
      </c>
      <c r="Z6" s="63">
        <f t="shared" si="17"/>
        <v>0</v>
      </c>
      <c r="AA6" s="60">
        <f t="shared" ref="AA6:AB6" si="18">L6+X6</f>
        <v>5.7</v>
      </c>
      <c r="AB6" s="60">
        <f t="shared" si="18"/>
        <v>0</v>
      </c>
      <c r="AC6" s="63">
        <f t="shared" si="19"/>
        <v>0</v>
      </c>
      <c r="AD6" s="61">
        <v>0.95</v>
      </c>
      <c r="AE6" s="62"/>
      <c r="AF6" s="63">
        <f t="shared" si="20"/>
        <v>0</v>
      </c>
      <c r="AG6" s="61">
        <v>0.95</v>
      </c>
      <c r="AH6" s="62"/>
      <c r="AI6" s="63">
        <f t="shared" si="21"/>
        <v>0</v>
      </c>
      <c r="AJ6" s="61">
        <v>0.95</v>
      </c>
      <c r="AK6" s="62"/>
      <c r="AL6" s="63">
        <f t="shared" si="22"/>
        <v>0</v>
      </c>
      <c r="AM6" s="60">
        <f t="shared" ref="AM6:AN6" si="23">AD6+AG6+AJ6</f>
        <v>2.85</v>
      </c>
      <c r="AN6" s="60">
        <f t="shared" si="23"/>
        <v>0</v>
      </c>
      <c r="AO6" s="63">
        <f t="shared" si="24"/>
        <v>0</v>
      </c>
      <c r="AP6" s="61">
        <v>0.95</v>
      </c>
      <c r="AQ6" s="62"/>
      <c r="AR6" s="63">
        <f t="shared" si="25"/>
        <v>0</v>
      </c>
      <c r="AS6" s="61">
        <v>0.95</v>
      </c>
      <c r="AT6" s="62"/>
      <c r="AU6" s="63">
        <f t="shared" si="26"/>
        <v>0</v>
      </c>
      <c r="AV6" s="61">
        <v>0.95</v>
      </c>
      <c r="AW6" s="62"/>
      <c r="AX6" s="63">
        <f t="shared" si="27"/>
        <v>0</v>
      </c>
      <c r="AY6" s="60">
        <f t="shared" ref="AY6:AZ6" si="28">AP6+AS6+AV6</f>
        <v>2.85</v>
      </c>
      <c r="AZ6" s="60">
        <f t="shared" si="28"/>
        <v>0</v>
      </c>
      <c r="BA6" s="63">
        <f t="shared" si="29"/>
        <v>0</v>
      </c>
      <c r="BB6" s="60">
        <f t="shared" ref="BB6:BC6" si="30">AM6+AY6</f>
        <v>5.7</v>
      </c>
      <c r="BC6" s="60">
        <f t="shared" si="30"/>
        <v>0</v>
      </c>
      <c r="BD6" s="63">
        <f t="shared" si="31"/>
        <v>0</v>
      </c>
      <c r="BE6" s="60">
        <f t="shared" ref="BE6:BF6" si="32">BB6+AA6</f>
        <v>11.4</v>
      </c>
      <c r="BF6" s="60">
        <f t="shared" si="32"/>
        <v>0</v>
      </c>
      <c r="BG6" s="63">
        <f t="shared" si="33"/>
        <v>0</v>
      </c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</row>
    <row r="7">
      <c r="A7" s="53"/>
      <c r="B7" s="59" t="s">
        <v>105</v>
      </c>
      <c r="C7" s="61">
        <v>0.8</v>
      </c>
      <c r="D7" s="62"/>
      <c r="E7" s="63">
        <f t="shared" si="8"/>
        <v>0</v>
      </c>
      <c r="F7" s="61">
        <v>0.8</v>
      </c>
      <c r="G7" s="62"/>
      <c r="H7" s="63">
        <f t="shared" si="9"/>
        <v>0</v>
      </c>
      <c r="I7" s="61">
        <v>0.8</v>
      </c>
      <c r="J7" s="62"/>
      <c r="K7" s="63">
        <f t="shared" si="10"/>
        <v>0</v>
      </c>
      <c r="L7" s="60">
        <f t="shared" ref="L7:M7" si="34">C7+F7+I7</f>
        <v>2.4</v>
      </c>
      <c r="M7" s="60">
        <f t="shared" si="34"/>
        <v>0</v>
      </c>
      <c r="N7" s="63">
        <f t="shared" si="12"/>
        <v>0</v>
      </c>
      <c r="O7" s="61">
        <v>0.8</v>
      </c>
      <c r="P7" s="62"/>
      <c r="Q7" s="63">
        <f t="shared" si="13"/>
        <v>0</v>
      </c>
      <c r="R7" s="61">
        <v>0.8</v>
      </c>
      <c r="S7" s="62"/>
      <c r="T7" s="63">
        <f t="shared" si="14"/>
        <v>0</v>
      </c>
      <c r="U7" s="61">
        <v>0.8</v>
      </c>
      <c r="V7" s="62"/>
      <c r="W7" s="63">
        <f t="shared" si="15"/>
        <v>0</v>
      </c>
      <c r="X7" s="60">
        <f t="shared" ref="X7:Y7" si="35">O7+R7+U7</f>
        <v>2.4</v>
      </c>
      <c r="Y7" s="60">
        <f t="shared" si="35"/>
        <v>0</v>
      </c>
      <c r="Z7" s="63">
        <f t="shared" si="17"/>
        <v>0</v>
      </c>
      <c r="AA7" s="60">
        <f t="shared" ref="AA7:AB7" si="36">L7+X7</f>
        <v>4.8</v>
      </c>
      <c r="AB7" s="60">
        <f t="shared" si="36"/>
        <v>0</v>
      </c>
      <c r="AC7" s="63">
        <f t="shared" si="19"/>
        <v>0</v>
      </c>
      <c r="AD7" s="61">
        <v>0.8</v>
      </c>
      <c r="AE7" s="62"/>
      <c r="AF7" s="63">
        <f t="shared" si="20"/>
        <v>0</v>
      </c>
      <c r="AG7" s="61">
        <v>0.8</v>
      </c>
      <c r="AH7" s="62"/>
      <c r="AI7" s="63">
        <f t="shared" si="21"/>
        <v>0</v>
      </c>
      <c r="AJ7" s="61">
        <v>0.8</v>
      </c>
      <c r="AK7" s="62"/>
      <c r="AL7" s="63">
        <f t="shared" si="22"/>
        <v>0</v>
      </c>
      <c r="AM7" s="60">
        <f t="shared" ref="AM7:AN7" si="37">AD7+AG7+AJ7</f>
        <v>2.4</v>
      </c>
      <c r="AN7" s="60">
        <f t="shared" si="37"/>
        <v>0</v>
      </c>
      <c r="AO7" s="63">
        <f t="shared" si="24"/>
        <v>0</v>
      </c>
      <c r="AP7" s="61">
        <v>0.8</v>
      </c>
      <c r="AQ7" s="62"/>
      <c r="AR7" s="63">
        <f t="shared" si="25"/>
        <v>0</v>
      </c>
      <c r="AS7" s="61">
        <v>0.8</v>
      </c>
      <c r="AT7" s="62"/>
      <c r="AU7" s="63">
        <f t="shared" si="26"/>
        <v>0</v>
      </c>
      <c r="AV7" s="61">
        <v>0.8</v>
      </c>
      <c r="AW7" s="62"/>
      <c r="AX7" s="63">
        <f t="shared" si="27"/>
        <v>0</v>
      </c>
      <c r="AY7" s="60">
        <f t="shared" ref="AY7:AZ7" si="38">AP7+AS7+AV7</f>
        <v>2.4</v>
      </c>
      <c r="AZ7" s="60">
        <f t="shared" si="38"/>
        <v>0</v>
      </c>
      <c r="BA7" s="63">
        <f t="shared" si="29"/>
        <v>0</v>
      </c>
      <c r="BB7" s="60">
        <f t="shared" ref="BB7:BC7" si="39">AM7+AY7</f>
        <v>4.8</v>
      </c>
      <c r="BC7" s="60">
        <f t="shared" si="39"/>
        <v>0</v>
      </c>
      <c r="BD7" s="63">
        <f t="shared" si="31"/>
        <v>0</v>
      </c>
      <c r="BE7" s="60">
        <f t="shared" ref="BE7:BF7" si="40">BB7+AA7</f>
        <v>9.6</v>
      </c>
      <c r="BF7" s="60">
        <f t="shared" si="40"/>
        <v>0</v>
      </c>
      <c r="BG7" s="63">
        <f t="shared" si="33"/>
        <v>0</v>
      </c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</row>
    <row r="8">
      <c r="A8" s="53"/>
      <c r="B8" s="59" t="s">
        <v>122</v>
      </c>
      <c r="C8" s="61">
        <v>0.45</v>
      </c>
      <c r="D8" s="62"/>
      <c r="E8" s="63">
        <f t="shared" si="8"/>
        <v>0</v>
      </c>
      <c r="F8" s="61">
        <v>0.45</v>
      </c>
      <c r="G8" s="62"/>
      <c r="H8" s="63">
        <f t="shared" si="9"/>
        <v>0</v>
      </c>
      <c r="I8" s="61">
        <v>0.45</v>
      </c>
      <c r="J8" s="62"/>
      <c r="K8" s="63">
        <f t="shared" si="10"/>
        <v>0</v>
      </c>
      <c r="L8" s="60">
        <f t="shared" ref="L8:M8" si="41">C8+F8+I8</f>
        <v>1.35</v>
      </c>
      <c r="M8" s="60">
        <f t="shared" si="41"/>
        <v>0</v>
      </c>
      <c r="N8" s="63">
        <f t="shared" si="12"/>
        <v>0</v>
      </c>
      <c r="O8" s="61">
        <v>0.45</v>
      </c>
      <c r="P8" s="62"/>
      <c r="Q8" s="63">
        <f t="shared" si="13"/>
        <v>0</v>
      </c>
      <c r="R8" s="61">
        <v>0.45</v>
      </c>
      <c r="S8" s="62"/>
      <c r="T8" s="63">
        <f t="shared" si="14"/>
        <v>0</v>
      </c>
      <c r="U8" s="61">
        <v>0.45</v>
      </c>
      <c r="V8" s="62"/>
      <c r="W8" s="63">
        <f t="shared" si="15"/>
        <v>0</v>
      </c>
      <c r="X8" s="60">
        <f t="shared" ref="X8:Y8" si="42">O8+R8+U8</f>
        <v>1.35</v>
      </c>
      <c r="Y8" s="60">
        <f t="shared" si="42"/>
        <v>0</v>
      </c>
      <c r="Z8" s="63">
        <f t="shared" si="17"/>
        <v>0</v>
      </c>
      <c r="AA8" s="60">
        <f t="shared" ref="AA8:AB8" si="43">L8+X8</f>
        <v>2.7</v>
      </c>
      <c r="AB8" s="60">
        <f t="shared" si="43"/>
        <v>0</v>
      </c>
      <c r="AC8" s="63">
        <f t="shared" si="19"/>
        <v>0</v>
      </c>
      <c r="AD8" s="61">
        <v>0.45</v>
      </c>
      <c r="AE8" s="62"/>
      <c r="AF8" s="63">
        <f t="shared" si="20"/>
        <v>0</v>
      </c>
      <c r="AG8" s="61">
        <v>0.45</v>
      </c>
      <c r="AH8" s="62"/>
      <c r="AI8" s="63">
        <f t="shared" si="21"/>
        <v>0</v>
      </c>
      <c r="AJ8" s="61">
        <v>0.45</v>
      </c>
      <c r="AK8" s="62"/>
      <c r="AL8" s="63">
        <f t="shared" si="22"/>
        <v>0</v>
      </c>
      <c r="AM8" s="60">
        <f t="shared" ref="AM8:AN8" si="44">AD8+AG8+AJ8</f>
        <v>1.35</v>
      </c>
      <c r="AN8" s="60">
        <f t="shared" si="44"/>
        <v>0</v>
      </c>
      <c r="AO8" s="63">
        <f t="shared" si="24"/>
        <v>0</v>
      </c>
      <c r="AP8" s="61">
        <v>0.45</v>
      </c>
      <c r="AQ8" s="62"/>
      <c r="AR8" s="63">
        <f t="shared" si="25"/>
        <v>0</v>
      </c>
      <c r="AS8" s="61">
        <v>0.45</v>
      </c>
      <c r="AT8" s="62"/>
      <c r="AU8" s="63">
        <f t="shared" si="26"/>
        <v>0</v>
      </c>
      <c r="AV8" s="61">
        <v>0.45</v>
      </c>
      <c r="AW8" s="62"/>
      <c r="AX8" s="63">
        <f t="shared" si="27"/>
        <v>0</v>
      </c>
      <c r="AY8" s="60">
        <f t="shared" ref="AY8:AZ8" si="45">AP8+AS8+AV8</f>
        <v>1.35</v>
      </c>
      <c r="AZ8" s="60">
        <f t="shared" si="45"/>
        <v>0</v>
      </c>
      <c r="BA8" s="63">
        <f t="shared" si="29"/>
        <v>0</v>
      </c>
      <c r="BB8" s="60">
        <f t="shared" ref="BB8:BC8" si="46">AM8+AY8</f>
        <v>2.7</v>
      </c>
      <c r="BC8" s="60">
        <f t="shared" si="46"/>
        <v>0</v>
      </c>
      <c r="BD8" s="63">
        <f t="shared" si="31"/>
        <v>0</v>
      </c>
      <c r="BE8" s="60">
        <f t="shared" ref="BE8:BF8" si="47">BB8+AA8</f>
        <v>5.4</v>
      </c>
      <c r="BF8" s="60">
        <f t="shared" si="47"/>
        <v>0</v>
      </c>
      <c r="BG8" s="63">
        <f t="shared" si="33"/>
        <v>0</v>
      </c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</row>
    <row r="9">
      <c r="A9" s="53"/>
      <c r="B9" s="32" t="s">
        <v>131</v>
      </c>
      <c r="C9" s="61">
        <v>1.2</v>
      </c>
      <c r="D9" s="62"/>
      <c r="E9" s="63">
        <f t="shared" si="8"/>
        <v>0</v>
      </c>
      <c r="F9" s="61">
        <v>1.2</v>
      </c>
      <c r="G9" s="62"/>
      <c r="H9" s="63">
        <f t="shared" si="9"/>
        <v>0</v>
      </c>
      <c r="I9" s="61">
        <v>1.2</v>
      </c>
      <c r="J9" s="62"/>
      <c r="K9" s="63">
        <f t="shared" si="10"/>
        <v>0</v>
      </c>
      <c r="L9" s="60">
        <f t="shared" ref="L9:M9" si="48">C9+F9+I9</f>
        <v>3.6</v>
      </c>
      <c r="M9" s="60">
        <f t="shared" si="48"/>
        <v>0</v>
      </c>
      <c r="N9" s="63">
        <f t="shared" si="12"/>
        <v>0</v>
      </c>
      <c r="O9" s="61">
        <v>1.2</v>
      </c>
      <c r="P9" s="62"/>
      <c r="Q9" s="63">
        <f t="shared" si="13"/>
        <v>0</v>
      </c>
      <c r="R9" s="61">
        <v>1.2</v>
      </c>
      <c r="S9" s="62"/>
      <c r="T9" s="63">
        <f t="shared" si="14"/>
        <v>0</v>
      </c>
      <c r="U9" s="61">
        <v>1.2</v>
      </c>
      <c r="V9" s="62"/>
      <c r="W9" s="63">
        <f t="shared" si="15"/>
        <v>0</v>
      </c>
      <c r="X9" s="60">
        <f t="shared" ref="X9:Y9" si="49">O9+R9+U9</f>
        <v>3.6</v>
      </c>
      <c r="Y9" s="60">
        <f t="shared" si="49"/>
        <v>0</v>
      </c>
      <c r="Z9" s="63">
        <f t="shared" si="17"/>
        <v>0</v>
      </c>
      <c r="AA9" s="60">
        <f t="shared" ref="AA9:AB9" si="50">L9+X9</f>
        <v>7.2</v>
      </c>
      <c r="AB9" s="60">
        <f t="shared" si="50"/>
        <v>0</v>
      </c>
      <c r="AC9" s="63">
        <f t="shared" si="19"/>
        <v>0</v>
      </c>
      <c r="AD9" s="61">
        <v>1.2</v>
      </c>
      <c r="AE9" s="62"/>
      <c r="AF9" s="63">
        <f t="shared" si="20"/>
        <v>0</v>
      </c>
      <c r="AG9" s="61">
        <v>1.2</v>
      </c>
      <c r="AH9" s="62"/>
      <c r="AI9" s="63">
        <f t="shared" si="21"/>
        <v>0</v>
      </c>
      <c r="AJ9" s="61">
        <v>1.2</v>
      </c>
      <c r="AK9" s="62"/>
      <c r="AL9" s="63">
        <f t="shared" si="22"/>
        <v>0</v>
      </c>
      <c r="AM9" s="60">
        <f t="shared" ref="AM9:AN9" si="51">AD9+AG9+AJ9</f>
        <v>3.6</v>
      </c>
      <c r="AN9" s="60">
        <f t="shared" si="51"/>
        <v>0</v>
      </c>
      <c r="AO9" s="63">
        <f t="shared" si="24"/>
        <v>0</v>
      </c>
      <c r="AP9" s="61">
        <v>1.2</v>
      </c>
      <c r="AQ9" s="62"/>
      <c r="AR9" s="63">
        <f t="shared" si="25"/>
        <v>0</v>
      </c>
      <c r="AS9" s="61">
        <v>1.2</v>
      </c>
      <c r="AT9" s="62"/>
      <c r="AU9" s="63">
        <f t="shared" si="26"/>
        <v>0</v>
      </c>
      <c r="AV9" s="61">
        <v>1.2</v>
      </c>
      <c r="AW9" s="62"/>
      <c r="AX9" s="63">
        <f t="shared" si="27"/>
        <v>0</v>
      </c>
      <c r="AY9" s="60">
        <f t="shared" ref="AY9:AZ9" si="52">AP9+AS9+AV9</f>
        <v>3.6</v>
      </c>
      <c r="AZ9" s="60">
        <f t="shared" si="52"/>
        <v>0</v>
      </c>
      <c r="BA9" s="63">
        <f t="shared" si="29"/>
        <v>0</v>
      </c>
      <c r="BB9" s="60">
        <f t="shared" ref="BB9:BC9" si="53">AM9+AY9</f>
        <v>7.2</v>
      </c>
      <c r="BC9" s="60">
        <f t="shared" si="53"/>
        <v>0</v>
      </c>
      <c r="BD9" s="63">
        <f t="shared" si="31"/>
        <v>0</v>
      </c>
      <c r="BE9" s="60">
        <f t="shared" ref="BE9:BF9" si="54">BB9+AA9</f>
        <v>14.4</v>
      </c>
      <c r="BF9" s="60">
        <f t="shared" si="54"/>
        <v>0</v>
      </c>
      <c r="BG9" s="63">
        <f t="shared" si="33"/>
        <v>0</v>
      </c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</row>
    <row r="10">
      <c r="A10" s="53"/>
      <c r="B10" s="59" t="s">
        <v>111</v>
      </c>
      <c r="C10" s="60">
        <f t="shared" ref="C10:D10" si="55">SUM(C5:C9)</f>
        <v>5</v>
      </c>
      <c r="D10" s="60">
        <f t="shared" si="55"/>
        <v>0</v>
      </c>
      <c r="E10" s="63">
        <f t="shared" si="8"/>
        <v>0</v>
      </c>
      <c r="F10" s="60">
        <f t="shared" ref="F10:G10" si="56">SUM(F5:F9)</f>
        <v>5</v>
      </c>
      <c r="G10" s="60">
        <f t="shared" si="56"/>
        <v>0</v>
      </c>
      <c r="H10" s="63">
        <f t="shared" si="9"/>
        <v>0</v>
      </c>
      <c r="I10" s="60">
        <f t="shared" ref="I10:J10" si="57">SUM(I5:I9)</f>
        <v>5</v>
      </c>
      <c r="J10" s="60">
        <f t="shared" si="57"/>
        <v>0</v>
      </c>
      <c r="K10" s="63">
        <f t="shared" si="10"/>
        <v>0</v>
      </c>
      <c r="L10" s="60">
        <f t="shared" ref="L10:M10" si="58">SUM(L5:L9)</f>
        <v>15</v>
      </c>
      <c r="M10" s="60">
        <f t="shared" si="58"/>
        <v>0</v>
      </c>
      <c r="N10" s="63">
        <f t="shared" si="12"/>
        <v>0</v>
      </c>
      <c r="O10" s="60">
        <f t="shared" ref="O10:P10" si="59">SUM(O5:O9)</f>
        <v>5</v>
      </c>
      <c r="P10" s="60">
        <f t="shared" si="59"/>
        <v>0</v>
      </c>
      <c r="Q10" s="63">
        <f t="shared" si="13"/>
        <v>0</v>
      </c>
      <c r="R10" s="60">
        <f t="shared" ref="R10:S10" si="60">SUM(R5:R9)</f>
        <v>5</v>
      </c>
      <c r="S10" s="60">
        <f t="shared" si="60"/>
        <v>0</v>
      </c>
      <c r="T10" s="63">
        <f t="shared" si="14"/>
        <v>0</v>
      </c>
      <c r="U10" s="60">
        <f t="shared" ref="U10:V10" si="61">SUM(U5:U9)</f>
        <v>5</v>
      </c>
      <c r="V10" s="60">
        <f t="shared" si="61"/>
        <v>0</v>
      </c>
      <c r="W10" s="63">
        <f t="shared" si="15"/>
        <v>0</v>
      </c>
      <c r="X10" s="60">
        <f t="shared" ref="X10:Y10" si="62">SUM(X5:X9)</f>
        <v>15</v>
      </c>
      <c r="Y10" s="60">
        <f t="shared" si="62"/>
        <v>0</v>
      </c>
      <c r="Z10" s="63">
        <f t="shared" si="17"/>
        <v>0</v>
      </c>
      <c r="AA10" s="60">
        <f t="shared" ref="AA10:AB10" si="63">SUM(AA5:AA9)</f>
        <v>30</v>
      </c>
      <c r="AB10" s="60">
        <f t="shared" si="63"/>
        <v>0</v>
      </c>
      <c r="AC10" s="63">
        <f t="shared" si="19"/>
        <v>0</v>
      </c>
      <c r="AD10" s="60">
        <f t="shared" ref="AD10:AE10" si="64">SUM(AD5:AD9)</f>
        <v>5</v>
      </c>
      <c r="AE10" s="60">
        <f t="shared" si="64"/>
        <v>0</v>
      </c>
      <c r="AF10" s="63">
        <f t="shared" si="20"/>
        <v>0</v>
      </c>
      <c r="AG10" s="60">
        <f t="shared" ref="AG10:AH10" si="65">SUM(AG5:AG9)</f>
        <v>5</v>
      </c>
      <c r="AH10" s="60">
        <f t="shared" si="65"/>
        <v>0</v>
      </c>
      <c r="AI10" s="63">
        <f t="shared" si="21"/>
        <v>0</v>
      </c>
      <c r="AJ10" s="60">
        <f t="shared" ref="AJ10:AK10" si="66">SUM(AJ5:AJ9)</f>
        <v>5</v>
      </c>
      <c r="AK10" s="60">
        <f t="shared" si="66"/>
        <v>0</v>
      </c>
      <c r="AL10" s="63">
        <f t="shared" si="22"/>
        <v>0</v>
      </c>
      <c r="AM10" s="60">
        <f t="shared" ref="AM10:AN10" si="67">SUM(AM5:AM9)</f>
        <v>15</v>
      </c>
      <c r="AN10" s="60">
        <f t="shared" si="67"/>
        <v>0</v>
      </c>
      <c r="AO10" s="63">
        <f t="shared" si="24"/>
        <v>0</v>
      </c>
      <c r="AP10" s="60">
        <f t="shared" ref="AP10:AQ10" si="68">SUM(AP5:AP9)</f>
        <v>5</v>
      </c>
      <c r="AQ10" s="60">
        <f t="shared" si="68"/>
        <v>0</v>
      </c>
      <c r="AR10" s="63">
        <f t="shared" si="25"/>
        <v>0</v>
      </c>
      <c r="AS10" s="60">
        <f t="shared" ref="AS10:AT10" si="69">SUM(AS5:AS9)</f>
        <v>5</v>
      </c>
      <c r="AT10" s="60">
        <f t="shared" si="69"/>
        <v>0</v>
      </c>
      <c r="AU10" s="63">
        <f t="shared" si="26"/>
        <v>0</v>
      </c>
      <c r="AV10" s="60">
        <f t="shared" ref="AV10:AW10" si="70">SUM(AV5:AV9)</f>
        <v>5</v>
      </c>
      <c r="AW10" s="60">
        <f t="shared" si="70"/>
        <v>0</v>
      </c>
      <c r="AX10" s="63">
        <f t="shared" si="27"/>
        <v>0</v>
      </c>
      <c r="AY10" s="60">
        <f t="shared" ref="AY10:AZ10" si="71">SUM(AY5:AY9)</f>
        <v>15</v>
      </c>
      <c r="AZ10" s="60">
        <f t="shared" si="71"/>
        <v>0</v>
      </c>
      <c r="BA10" s="63">
        <f t="shared" si="29"/>
        <v>0</v>
      </c>
      <c r="BB10" s="60">
        <f t="shared" ref="BB10:BC10" si="72">SUM(BB5:BB9)</f>
        <v>30</v>
      </c>
      <c r="BC10" s="60">
        <f t="shared" si="72"/>
        <v>0</v>
      </c>
      <c r="BD10" s="63">
        <f t="shared" si="31"/>
        <v>0</v>
      </c>
      <c r="BE10" s="60">
        <f t="shared" ref="BE10:BF10" si="73">SUM(BE5:BE9)</f>
        <v>60</v>
      </c>
      <c r="BF10" s="60">
        <f t="shared" si="73"/>
        <v>0</v>
      </c>
      <c r="BG10" s="63">
        <f t="shared" si="33"/>
        <v>0</v>
      </c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</row>
    <row r="1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</row>
    <row r="12">
      <c r="A12" s="53"/>
      <c r="B12" s="65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</row>
    <row r="13">
      <c r="A13" s="53"/>
      <c r="B13" s="65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</row>
    <row r="14">
      <c r="A14" s="53"/>
      <c r="B14" s="65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</row>
    <row r="15">
      <c r="A15" s="53"/>
      <c r="B15" s="65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</row>
    <row r="16">
      <c r="A16" s="53"/>
      <c r="B16" s="65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  <c r="BW252" s="53"/>
      <c r="BX252" s="53"/>
      <c r="BY252" s="53"/>
      <c r="BZ252" s="53"/>
      <c r="CA252" s="53"/>
      <c r="CB252" s="53"/>
      <c r="CC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  <c r="BW256" s="53"/>
      <c r="BX256" s="53"/>
      <c r="BY256" s="53"/>
      <c r="BZ256" s="53"/>
      <c r="CA256" s="53"/>
      <c r="CB256" s="53"/>
      <c r="CC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  <c r="BW260" s="53"/>
      <c r="BX260" s="53"/>
      <c r="BY260" s="53"/>
      <c r="BZ260" s="53"/>
      <c r="CA260" s="53"/>
      <c r="CB260" s="53"/>
      <c r="CC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53"/>
      <c r="BW278" s="53"/>
      <c r="BX278" s="53"/>
      <c r="BY278" s="53"/>
      <c r="BZ278" s="53"/>
      <c r="CA278" s="53"/>
      <c r="CB278" s="53"/>
      <c r="CC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53"/>
      <c r="BW282" s="53"/>
      <c r="BX282" s="53"/>
      <c r="BY282" s="53"/>
      <c r="BZ282" s="53"/>
      <c r="CA282" s="53"/>
      <c r="CB282" s="53"/>
      <c r="CC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53"/>
      <c r="BW288" s="53"/>
      <c r="BX288" s="53"/>
      <c r="BY288" s="53"/>
      <c r="BZ288" s="53"/>
      <c r="CA288" s="53"/>
      <c r="CB288" s="53"/>
      <c r="CC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53"/>
      <c r="BW294" s="53"/>
      <c r="BX294" s="53"/>
      <c r="BY294" s="53"/>
      <c r="BZ294" s="53"/>
      <c r="CA294" s="53"/>
      <c r="CB294" s="53"/>
      <c r="CC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53"/>
      <c r="BW296" s="53"/>
      <c r="BX296" s="53"/>
      <c r="BY296" s="53"/>
      <c r="BZ296" s="53"/>
      <c r="CA296" s="53"/>
      <c r="CB296" s="53"/>
      <c r="CC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53"/>
      <c r="BW298" s="53"/>
      <c r="BX298" s="53"/>
      <c r="BY298" s="53"/>
      <c r="BZ298" s="53"/>
      <c r="CA298" s="53"/>
      <c r="CB298" s="53"/>
      <c r="CC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  <c r="BV302" s="53"/>
      <c r="BW302" s="53"/>
      <c r="BX302" s="53"/>
      <c r="BY302" s="53"/>
      <c r="BZ302" s="53"/>
      <c r="CA302" s="53"/>
      <c r="CB302" s="53"/>
      <c r="CC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  <c r="BV320" s="53"/>
      <c r="BW320" s="53"/>
      <c r="BX320" s="53"/>
      <c r="BY320" s="53"/>
      <c r="BZ320" s="53"/>
      <c r="CA320" s="53"/>
      <c r="CB320" s="53"/>
      <c r="CC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  <c r="BV334" s="53"/>
      <c r="BW334" s="53"/>
      <c r="BX334" s="53"/>
      <c r="BY334" s="53"/>
      <c r="BZ334" s="53"/>
      <c r="CA334" s="53"/>
      <c r="CB334" s="53"/>
      <c r="CC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  <c r="BV336" s="53"/>
      <c r="BW336" s="53"/>
      <c r="BX336" s="53"/>
      <c r="BY336" s="53"/>
      <c r="BZ336" s="53"/>
      <c r="CA336" s="53"/>
      <c r="CB336" s="53"/>
      <c r="CC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  <c r="BV340" s="53"/>
      <c r="BW340" s="53"/>
      <c r="BX340" s="53"/>
      <c r="BY340" s="53"/>
      <c r="BZ340" s="53"/>
      <c r="CA340" s="53"/>
      <c r="CB340" s="53"/>
      <c r="CC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  <c r="BV344" s="53"/>
      <c r="BW344" s="53"/>
      <c r="BX344" s="53"/>
      <c r="BY344" s="53"/>
      <c r="BZ344" s="53"/>
      <c r="CA344" s="53"/>
      <c r="CB344" s="53"/>
      <c r="CC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  <c r="BV348" s="53"/>
      <c r="BW348" s="53"/>
      <c r="BX348" s="53"/>
      <c r="BY348" s="53"/>
      <c r="BZ348" s="53"/>
      <c r="CA348" s="53"/>
      <c r="CB348" s="53"/>
      <c r="CC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  <c r="BV711" s="53"/>
      <c r="BW711" s="53"/>
      <c r="BX711" s="53"/>
      <c r="BY711" s="53"/>
      <c r="BZ711" s="53"/>
      <c r="CA711" s="53"/>
      <c r="CB711" s="53"/>
      <c r="CC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  <c r="BV712" s="53"/>
      <c r="BW712" s="53"/>
      <c r="BX712" s="53"/>
      <c r="BY712" s="53"/>
      <c r="BZ712" s="53"/>
      <c r="CA712" s="53"/>
      <c r="CB712" s="53"/>
      <c r="CC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  <c r="BV713" s="53"/>
      <c r="BW713" s="53"/>
      <c r="BX713" s="53"/>
      <c r="BY713" s="53"/>
      <c r="BZ713" s="53"/>
      <c r="CA713" s="53"/>
      <c r="CB713" s="53"/>
      <c r="CC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  <c r="BV714" s="53"/>
      <c r="BW714" s="53"/>
      <c r="BX714" s="53"/>
      <c r="BY714" s="53"/>
      <c r="BZ714" s="53"/>
      <c r="CA714" s="53"/>
      <c r="CB714" s="53"/>
      <c r="CC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  <c r="BV716" s="53"/>
      <c r="BW716" s="53"/>
      <c r="BX716" s="53"/>
      <c r="BY716" s="53"/>
      <c r="BZ716" s="53"/>
      <c r="CA716" s="53"/>
      <c r="CB716" s="53"/>
      <c r="CC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  <c r="BV717" s="53"/>
      <c r="BW717" s="53"/>
      <c r="BX717" s="53"/>
      <c r="BY717" s="53"/>
      <c r="BZ717" s="53"/>
      <c r="CA717" s="53"/>
      <c r="CB717" s="53"/>
      <c r="CC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  <c r="BV881" s="53"/>
      <c r="BW881" s="53"/>
      <c r="BX881" s="53"/>
      <c r="BY881" s="53"/>
      <c r="BZ881" s="53"/>
      <c r="CA881" s="53"/>
      <c r="CB881" s="53"/>
      <c r="CC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  <c r="BV882" s="53"/>
      <c r="BW882" s="53"/>
      <c r="BX882" s="53"/>
      <c r="BY882" s="53"/>
      <c r="BZ882" s="53"/>
      <c r="CA882" s="53"/>
      <c r="CB882" s="53"/>
      <c r="CC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  <c r="BV883" s="53"/>
      <c r="BW883" s="53"/>
      <c r="BX883" s="53"/>
      <c r="BY883" s="53"/>
      <c r="BZ883" s="53"/>
      <c r="CA883" s="53"/>
      <c r="CB883" s="53"/>
      <c r="CC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  <c r="BV884" s="53"/>
      <c r="BW884" s="53"/>
      <c r="BX884" s="53"/>
      <c r="BY884" s="53"/>
      <c r="BZ884" s="53"/>
      <c r="CA884" s="53"/>
      <c r="CB884" s="53"/>
      <c r="CC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  <c r="BV885" s="53"/>
      <c r="BW885" s="53"/>
      <c r="BX885" s="53"/>
      <c r="BY885" s="53"/>
      <c r="BZ885" s="53"/>
      <c r="CA885" s="53"/>
      <c r="CB885" s="53"/>
      <c r="CC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  <c r="BV886" s="53"/>
      <c r="BW886" s="53"/>
      <c r="BX886" s="53"/>
      <c r="BY886" s="53"/>
      <c r="BZ886" s="53"/>
      <c r="CA886" s="53"/>
      <c r="CB886" s="53"/>
      <c r="CC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  <c r="BV887" s="53"/>
      <c r="BW887" s="53"/>
      <c r="BX887" s="53"/>
      <c r="BY887" s="53"/>
      <c r="BZ887" s="53"/>
      <c r="CA887" s="53"/>
      <c r="CB887" s="53"/>
      <c r="CC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  <c r="BV888" s="53"/>
      <c r="BW888" s="53"/>
      <c r="BX888" s="53"/>
      <c r="BY888" s="53"/>
      <c r="BZ888" s="53"/>
      <c r="CA888" s="53"/>
      <c r="CB888" s="53"/>
      <c r="CC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  <c r="BV889" s="53"/>
      <c r="BW889" s="53"/>
      <c r="BX889" s="53"/>
      <c r="BY889" s="53"/>
      <c r="BZ889" s="53"/>
      <c r="CA889" s="53"/>
      <c r="CB889" s="53"/>
      <c r="CC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  <c r="BV890" s="53"/>
      <c r="BW890" s="53"/>
      <c r="BX890" s="53"/>
      <c r="BY890" s="53"/>
      <c r="BZ890" s="53"/>
      <c r="CA890" s="53"/>
      <c r="CB890" s="53"/>
      <c r="CC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  <c r="BV891" s="53"/>
      <c r="BW891" s="53"/>
      <c r="BX891" s="53"/>
      <c r="BY891" s="53"/>
      <c r="BZ891" s="53"/>
      <c r="CA891" s="53"/>
      <c r="CB891" s="53"/>
      <c r="CC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  <c r="BV892" s="53"/>
      <c r="BW892" s="53"/>
      <c r="BX892" s="53"/>
      <c r="BY892" s="53"/>
      <c r="BZ892" s="53"/>
      <c r="CA892" s="53"/>
      <c r="CB892" s="53"/>
      <c r="CC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  <c r="BV894" s="53"/>
      <c r="BW894" s="53"/>
      <c r="BX894" s="53"/>
      <c r="BY894" s="53"/>
      <c r="BZ894" s="53"/>
      <c r="CA894" s="53"/>
      <c r="CB894" s="53"/>
      <c r="CC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  <c r="BV895" s="53"/>
      <c r="BW895" s="53"/>
      <c r="BX895" s="53"/>
      <c r="BY895" s="53"/>
      <c r="BZ895" s="53"/>
      <c r="CA895" s="53"/>
      <c r="CB895" s="53"/>
      <c r="CC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  <c r="BV896" s="53"/>
      <c r="BW896" s="53"/>
      <c r="BX896" s="53"/>
      <c r="BY896" s="53"/>
      <c r="BZ896" s="53"/>
      <c r="CA896" s="53"/>
      <c r="CB896" s="53"/>
      <c r="CC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  <c r="BV897" s="53"/>
      <c r="BW897" s="53"/>
      <c r="BX897" s="53"/>
      <c r="BY897" s="53"/>
      <c r="BZ897" s="53"/>
      <c r="CA897" s="53"/>
      <c r="CB897" s="53"/>
      <c r="CC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  <c r="BV898" s="53"/>
      <c r="BW898" s="53"/>
      <c r="BX898" s="53"/>
      <c r="BY898" s="53"/>
      <c r="BZ898" s="53"/>
      <c r="CA898" s="53"/>
      <c r="CB898" s="53"/>
      <c r="CC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  <c r="BV899" s="53"/>
      <c r="BW899" s="53"/>
      <c r="BX899" s="53"/>
      <c r="BY899" s="53"/>
      <c r="BZ899" s="53"/>
      <c r="CA899" s="53"/>
      <c r="CB899" s="53"/>
      <c r="CC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  <c r="BV900" s="53"/>
      <c r="BW900" s="53"/>
      <c r="BX900" s="53"/>
      <c r="BY900" s="53"/>
      <c r="BZ900" s="53"/>
      <c r="CA900" s="53"/>
      <c r="CB900" s="53"/>
      <c r="CC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  <c r="BV901" s="53"/>
      <c r="BW901" s="53"/>
      <c r="BX901" s="53"/>
      <c r="BY901" s="53"/>
      <c r="BZ901" s="53"/>
      <c r="CA901" s="53"/>
      <c r="CB901" s="53"/>
      <c r="CC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  <c r="BV902" s="53"/>
      <c r="BW902" s="53"/>
      <c r="BX902" s="53"/>
      <c r="BY902" s="53"/>
      <c r="BZ902" s="53"/>
      <c r="CA902" s="53"/>
      <c r="CB902" s="53"/>
      <c r="CC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  <c r="BV903" s="53"/>
      <c r="BW903" s="53"/>
      <c r="BX903" s="53"/>
      <c r="BY903" s="53"/>
      <c r="BZ903" s="53"/>
      <c r="CA903" s="53"/>
      <c r="CB903" s="53"/>
      <c r="CC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  <c r="BV904" s="53"/>
      <c r="BW904" s="53"/>
      <c r="BX904" s="53"/>
      <c r="BY904" s="53"/>
      <c r="BZ904" s="53"/>
      <c r="CA904" s="53"/>
      <c r="CB904" s="53"/>
      <c r="CC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  <c r="BV905" s="53"/>
      <c r="BW905" s="53"/>
      <c r="BX905" s="53"/>
      <c r="BY905" s="53"/>
      <c r="BZ905" s="53"/>
      <c r="CA905" s="53"/>
      <c r="CB905" s="53"/>
      <c r="CC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  <c r="BV906" s="53"/>
      <c r="BW906" s="53"/>
      <c r="BX906" s="53"/>
      <c r="BY906" s="53"/>
      <c r="BZ906" s="53"/>
      <c r="CA906" s="53"/>
      <c r="CB906" s="53"/>
      <c r="CC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  <c r="BV907" s="53"/>
      <c r="BW907" s="53"/>
      <c r="BX907" s="53"/>
      <c r="BY907" s="53"/>
      <c r="BZ907" s="53"/>
      <c r="CA907" s="53"/>
      <c r="CB907" s="53"/>
      <c r="CC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  <c r="BV908" s="53"/>
      <c r="BW908" s="53"/>
      <c r="BX908" s="53"/>
      <c r="BY908" s="53"/>
      <c r="BZ908" s="53"/>
      <c r="CA908" s="53"/>
      <c r="CB908" s="53"/>
      <c r="CC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  <c r="BV909" s="53"/>
      <c r="BW909" s="53"/>
      <c r="BX909" s="53"/>
      <c r="BY909" s="53"/>
      <c r="BZ909" s="53"/>
      <c r="CA909" s="53"/>
      <c r="CB909" s="53"/>
      <c r="CC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  <c r="BV910" s="53"/>
      <c r="BW910" s="53"/>
      <c r="BX910" s="53"/>
      <c r="BY910" s="53"/>
      <c r="BZ910" s="53"/>
      <c r="CA910" s="53"/>
      <c r="CB910" s="53"/>
      <c r="CC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  <c r="BV911" s="53"/>
      <c r="BW911" s="53"/>
      <c r="BX911" s="53"/>
      <c r="BY911" s="53"/>
      <c r="BZ911" s="53"/>
      <c r="CA911" s="53"/>
      <c r="CB911" s="53"/>
      <c r="CC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  <c r="BV912" s="53"/>
      <c r="BW912" s="53"/>
      <c r="BX912" s="53"/>
      <c r="BY912" s="53"/>
      <c r="BZ912" s="53"/>
      <c r="CA912" s="53"/>
      <c r="CB912" s="53"/>
      <c r="CC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  <c r="BV913" s="53"/>
      <c r="BW913" s="53"/>
      <c r="BX913" s="53"/>
      <c r="BY913" s="53"/>
      <c r="BZ913" s="53"/>
      <c r="CA913" s="53"/>
      <c r="CB913" s="53"/>
      <c r="CC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  <c r="BV914" s="53"/>
      <c r="BW914" s="53"/>
      <c r="BX914" s="53"/>
      <c r="BY914" s="53"/>
      <c r="BZ914" s="53"/>
      <c r="CA914" s="53"/>
      <c r="CB914" s="53"/>
      <c r="CC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  <c r="BV915" s="53"/>
      <c r="BW915" s="53"/>
      <c r="BX915" s="53"/>
      <c r="BY915" s="53"/>
      <c r="BZ915" s="53"/>
      <c r="CA915" s="53"/>
      <c r="CB915" s="53"/>
      <c r="CC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  <c r="BV916" s="53"/>
      <c r="BW916" s="53"/>
      <c r="BX916" s="53"/>
      <c r="BY916" s="53"/>
      <c r="BZ916" s="53"/>
      <c r="CA916" s="53"/>
      <c r="CB916" s="53"/>
      <c r="CC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  <c r="BV917" s="53"/>
      <c r="BW917" s="53"/>
      <c r="BX917" s="53"/>
      <c r="BY917" s="53"/>
      <c r="BZ917" s="53"/>
      <c r="CA917" s="53"/>
      <c r="CB917" s="53"/>
      <c r="CC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  <c r="BV918" s="53"/>
      <c r="BW918" s="53"/>
      <c r="BX918" s="53"/>
      <c r="BY918" s="53"/>
      <c r="BZ918" s="53"/>
      <c r="CA918" s="53"/>
      <c r="CB918" s="53"/>
      <c r="CC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  <c r="BV919" s="53"/>
      <c r="BW919" s="53"/>
      <c r="BX919" s="53"/>
      <c r="BY919" s="53"/>
      <c r="BZ919" s="53"/>
      <c r="CA919" s="53"/>
      <c r="CB919" s="53"/>
      <c r="CC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  <c r="BV920" s="53"/>
      <c r="BW920" s="53"/>
      <c r="BX920" s="53"/>
      <c r="BY920" s="53"/>
      <c r="BZ920" s="53"/>
      <c r="CA920" s="53"/>
      <c r="CB920" s="53"/>
      <c r="CC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  <c r="BV921" s="53"/>
      <c r="BW921" s="53"/>
      <c r="BX921" s="53"/>
      <c r="BY921" s="53"/>
      <c r="BZ921" s="53"/>
      <c r="CA921" s="53"/>
      <c r="CB921" s="53"/>
      <c r="CC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  <c r="BV922" s="53"/>
      <c r="BW922" s="53"/>
      <c r="BX922" s="53"/>
      <c r="BY922" s="53"/>
      <c r="BZ922" s="53"/>
      <c r="CA922" s="53"/>
      <c r="CB922" s="53"/>
      <c r="CC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  <c r="BV923" s="53"/>
      <c r="BW923" s="53"/>
      <c r="BX923" s="53"/>
      <c r="BY923" s="53"/>
      <c r="BZ923" s="53"/>
      <c r="CA923" s="53"/>
      <c r="CB923" s="53"/>
      <c r="CC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  <c r="BV924" s="53"/>
      <c r="BW924" s="53"/>
      <c r="BX924" s="53"/>
      <c r="BY924" s="53"/>
      <c r="BZ924" s="53"/>
      <c r="CA924" s="53"/>
      <c r="CB924" s="53"/>
      <c r="CC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  <c r="BV925" s="53"/>
      <c r="BW925" s="53"/>
      <c r="BX925" s="53"/>
      <c r="BY925" s="53"/>
      <c r="BZ925" s="53"/>
      <c r="CA925" s="53"/>
      <c r="CB925" s="53"/>
      <c r="CC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  <c r="BV926" s="53"/>
      <c r="BW926" s="53"/>
      <c r="BX926" s="53"/>
      <c r="BY926" s="53"/>
      <c r="BZ926" s="53"/>
      <c r="CA926" s="53"/>
      <c r="CB926" s="53"/>
      <c r="CC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  <c r="BV927" s="53"/>
      <c r="BW927" s="53"/>
      <c r="BX927" s="53"/>
      <c r="BY927" s="53"/>
      <c r="BZ927" s="53"/>
      <c r="CA927" s="53"/>
      <c r="CB927" s="53"/>
      <c r="CC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  <c r="BV928" s="53"/>
      <c r="BW928" s="53"/>
      <c r="BX928" s="53"/>
      <c r="BY928" s="53"/>
      <c r="BZ928" s="53"/>
      <c r="CA928" s="53"/>
      <c r="CB928" s="53"/>
      <c r="CC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  <c r="BV929" s="53"/>
      <c r="BW929" s="53"/>
      <c r="BX929" s="53"/>
      <c r="BY929" s="53"/>
      <c r="BZ929" s="53"/>
      <c r="CA929" s="53"/>
      <c r="CB929" s="53"/>
      <c r="CC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  <c r="BV930" s="53"/>
      <c r="BW930" s="53"/>
      <c r="BX930" s="53"/>
      <c r="BY930" s="53"/>
      <c r="BZ930" s="53"/>
      <c r="CA930" s="53"/>
      <c r="CB930" s="53"/>
      <c r="CC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  <c r="BV931" s="53"/>
      <c r="BW931" s="53"/>
      <c r="BX931" s="53"/>
      <c r="BY931" s="53"/>
      <c r="BZ931" s="53"/>
      <c r="CA931" s="53"/>
      <c r="CB931" s="53"/>
      <c r="CC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  <c r="BV932" s="53"/>
      <c r="BW932" s="53"/>
      <c r="BX932" s="53"/>
      <c r="BY932" s="53"/>
      <c r="BZ932" s="53"/>
      <c r="CA932" s="53"/>
      <c r="CB932" s="53"/>
      <c r="CC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  <c r="BV933" s="53"/>
      <c r="BW933" s="53"/>
      <c r="BX933" s="53"/>
      <c r="BY933" s="53"/>
      <c r="BZ933" s="53"/>
      <c r="CA933" s="53"/>
      <c r="CB933" s="53"/>
      <c r="CC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  <c r="BV934" s="53"/>
      <c r="BW934" s="53"/>
      <c r="BX934" s="53"/>
      <c r="BY934" s="53"/>
      <c r="BZ934" s="53"/>
      <c r="CA934" s="53"/>
      <c r="CB934" s="53"/>
      <c r="CC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  <c r="BV935" s="53"/>
      <c r="BW935" s="53"/>
      <c r="BX935" s="53"/>
      <c r="BY935" s="53"/>
      <c r="BZ935" s="53"/>
      <c r="CA935" s="53"/>
      <c r="CB935" s="53"/>
      <c r="CC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  <c r="BV936" s="53"/>
      <c r="BW936" s="53"/>
      <c r="BX936" s="53"/>
      <c r="BY936" s="53"/>
      <c r="BZ936" s="53"/>
      <c r="CA936" s="53"/>
      <c r="CB936" s="53"/>
      <c r="CC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  <c r="BV937" s="53"/>
      <c r="BW937" s="53"/>
      <c r="BX937" s="53"/>
      <c r="BY937" s="53"/>
      <c r="BZ937" s="53"/>
      <c r="CA937" s="53"/>
      <c r="CB937" s="53"/>
      <c r="CC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  <c r="BV938" s="53"/>
      <c r="BW938" s="53"/>
      <c r="BX938" s="53"/>
      <c r="BY938" s="53"/>
      <c r="BZ938" s="53"/>
      <c r="CA938" s="53"/>
      <c r="CB938" s="53"/>
      <c r="CC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  <c r="BV939" s="53"/>
      <c r="BW939" s="53"/>
      <c r="BX939" s="53"/>
      <c r="BY939" s="53"/>
      <c r="BZ939" s="53"/>
      <c r="CA939" s="53"/>
      <c r="CB939" s="53"/>
      <c r="CC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  <c r="BV940" s="53"/>
      <c r="BW940" s="53"/>
      <c r="BX940" s="53"/>
      <c r="BY940" s="53"/>
      <c r="BZ940" s="53"/>
      <c r="CA940" s="53"/>
      <c r="CB940" s="53"/>
      <c r="CC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  <c r="BV941" s="53"/>
      <c r="BW941" s="53"/>
      <c r="BX941" s="53"/>
      <c r="BY941" s="53"/>
      <c r="BZ941" s="53"/>
      <c r="CA941" s="53"/>
      <c r="CB941" s="53"/>
      <c r="CC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  <c r="BV942" s="53"/>
      <c r="BW942" s="53"/>
      <c r="BX942" s="53"/>
      <c r="BY942" s="53"/>
      <c r="BZ942" s="53"/>
      <c r="CA942" s="53"/>
      <c r="CB942" s="53"/>
      <c r="CC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  <c r="BV943" s="53"/>
      <c r="BW943" s="53"/>
      <c r="BX943" s="53"/>
      <c r="BY943" s="53"/>
      <c r="BZ943" s="53"/>
      <c r="CA943" s="53"/>
      <c r="CB943" s="53"/>
      <c r="CC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  <c r="BS944" s="53"/>
      <c r="BT944" s="53"/>
      <c r="BU944" s="53"/>
      <c r="BV944" s="53"/>
      <c r="BW944" s="53"/>
      <c r="BX944" s="53"/>
      <c r="BY944" s="53"/>
      <c r="BZ944" s="53"/>
      <c r="CA944" s="53"/>
      <c r="CB944" s="53"/>
      <c r="CC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  <c r="BS945" s="53"/>
      <c r="BT945" s="53"/>
      <c r="BU945" s="53"/>
      <c r="BV945" s="53"/>
      <c r="BW945" s="53"/>
      <c r="BX945" s="53"/>
      <c r="BY945" s="53"/>
      <c r="BZ945" s="53"/>
      <c r="CA945" s="53"/>
      <c r="CB945" s="53"/>
      <c r="CC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  <c r="BS946" s="53"/>
      <c r="BT946" s="53"/>
      <c r="BU946" s="53"/>
      <c r="BV946" s="53"/>
      <c r="BW946" s="53"/>
      <c r="BX946" s="53"/>
      <c r="BY946" s="53"/>
      <c r="BZ946" s="53"/>
      <c r="CA946" s="53"/>
      <c r="CB946" s="53"/>
      <c r="CC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  <c r="BS947" s="53"/>
      <c r="BT947" s="53"/>
      <c r="BU947" s="53"/>
      <c r="BV947" s="53"/>
      <c r="BW947" s="53"/>
      <c r="BX947" s="53"/>
      <c r="BY947" s="53"/>
      <c r="BZ947" s="53"/>
      <c r="CA947" s="53"/>
      <c r="CB947" s="53"/>
      <c r="CC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  <c r="BS948" s="53"/>
      <c r="BT948" s="53"/>
      <c r="BU948" s="53"/>
      <c r="BV948" s="53"/>
      <c r="BW948" s="53"/>
      <c r="BX948" s="53"/>
      <c r="BY948" s="53"/>
      <c r="BZ948" s="53"/>
      <c r="CA948" s="53"/>
      <c r="CB948" s="53"/>
      <c r="CC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  <c r="BS949" s="53"/>
      <c r="BT949" s="53"/>
      <c r="BU949" s="53"/>
      <c r="BV949" s="53"/>
      <c r="BW949" s="53"/>
      <c r="BX949" s="53"/>
      <c r="BY949" s="53"/>
      <c r="BZ949" s="53"/>
      <c r="CA949" s="53"/>
      <c r="CB949" s="53"/>
      <c r="CC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  <c r="BS950" s="53"/>
      <c r="BT950" s="53"/>
      <c r="BU950" s="53"/>
      <c r="BV950" s="53"/>
      <c r="BW950" s="53"/>
      <c r="BX950" s="53"/>
      <c r="BY950" s="53"/>
      <c r="BZ950" s="53"/>
      <c r="CA950" s="53"/>
      <c r="CB950" s="53"/>
      <c r="CC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  <c r="BS951" s="53"/>
      <c r="BT951" s="53"/>
      <c r="BU951" s="53"/>
      <c r="BV951" s="53"/>
      <c r="BW951" s="53"/>
      <c r="BX951" s="53"/>
      <c r="BY951" s="53"/>
      <c r="BZ951" s="53"/>
      <c r="CA951" s="53"/>
      <c r="CB951" s="53"/>
      <c r="CC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  <c r="BS952" s="53"/>
      <c r="BT952" s="53"/>
      <c r="BU952" s="53"/>
      <c r="BV952" s="53"/>
      <c r="BW952" s="53"/>
      <c r="BX952" s="53"/>
      <c r="BY952" s="53"/>
      <c r="BZ952" s="53"/>
      <c r="CA952" s="53"/>
      <c r="CB952" s="53"/>
      <c r="CC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  <c r="BS953" s="53"/>
      <c r="BT953" s="53"/>
      <c r="BU953" s="53"/>
      <c r="BV953" s="53"/>
      <c r="BW953" s="53"/>
      <c r="BX953" s="53"/>
      <c r="BY953" s="53"/>
      <c r="BZ953" s="53"/>
      <c r="CA953" s="53"/>
      <c r="CB953" s="53"/>
      <c r="CC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  <c r="BS954" s="53"/>
      <c r="BT954" s="53"/>
      <c r="BU954" s="53"/>
      <c r="BV954" s="53"/>
      <c r="BW954" s="53"/>
      <c r="BX954" s="53"/>
      <c r="BY954" s="53"/>
      <c r="BZ954" s="53"/>
      <c r="CA954" s="53"/>
      <c r="CB954" s="53"/>
      <c r="CC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  <c r="BS955" s="53"/>
      <c r="BT955" s="53"/>
      <c r="BU955" s="53"/>
      <c r="BV955" s="53"/>
      <c r="BW955" s="53"/>
      <c r="BX955" s="53"/>
      <c r="BY955" s="53"/>
      <c r="BZ955" s="53"/>
      <c r="CA955" s="53"/>
      <c r="CB955" s="53"/>
      <c r="CC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  <c r="BS956" s="53"/>
      <c r="BT956" s="53"/>
      <c r="BU956" s="53"/>
      <c r="BV956" s="53"/>
      <c r="BW956" s="53"/>
      <c r="BX956" s="53"/>
      <c r="BY956" s="53"/>
      <c r="BZ956" s="53"/>
      <c r="CA956" s="53"/>
      <c r="CB956" s="53"/>
      <c r="CC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  <c r="BS957" s="53"/>
      <c r="BT957" s="53"/>
      <c r="BU957" s="53"/>
      <c r="BV957" s="53"/>
      <c r="BW957" s="53"/>
      <c r="BX957" s="53"/>
      <c r="BY957" s="53"/>
      <c r="BZ957" s="53"/>
      <c r="CA957" s="53"/>
      <c r="CB957" s="53"/>
      <c r="CC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  <c r="BS958" s="53"/>
      <c r="BT958" s="53"/>
      <c r="BU958" s="53"/>
      <c r="BV958" s="53"/>
      <c r="BW958" s="53"/>
      <c r="BX958" s="53"/>
      <c r="BY958" s="53"/>
      <c r="BZ958" s="53"/>
      <c r="CA958" s="53"/>
      <c r="CB958" s="53"/>
      <c r="CC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  <c r="BS959" s="53"/>
      <c r="BT959" s="53"/>
      <c r="BU959" s="53"/>
      <c r="BV959" s="53"/>
      <c r="BW959" s="53"/>
      <c r="BX959" s="53"/>
      <c r="BY959" s="53"/>
      <c r="BZ959" s="53"/>
      <c r="CA959" s="53"/>
      <c r="CB959" s="53"/>
      <c r="CC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  <c r="BS960" s="53"/>
      <c r="BT960" s="53"/>
      <c r="BU960" s="53"/>
      <c r="BV960" s="53"/>
      <c r="BW960" s="53"/>
      <c r="BX960" s="53"/>
      <c r="BY960" s="53"/>
      <c r="BZ960" s="53"/>
      <c r="CA960" s="53"/>
      <c r="CB960" s="53"/>
      <c r="CC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  <c r="BS961" s="53"/>
      <c r="BT961" s="53"/>
      <c r="BU961" s="53"/>
      <c r="BV961" s="53"/>
      <c r="BW961" s="53"/>
      <c r="BX961" s="53"/>
      <c r="BY961" s="53"/>
      <c r="BZ961" s="53"/>
      <c r="CA961" s="53"/>
      <c r="CB961" s="53"/>
      <c r="CC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  <c r="BS962" s="53"/>
      <c r="BT962" s="53"/>
      <c r="BU962" s="53"/>
      <c r="BV962" s="53"/>
      <c r="BW962" s="53"/>
      <c r="BX962" s="53"/>
      <c r="BY962" s="53"/>
      <c r="BZ962" s="53"/>
      <c r="CA962" s="53"/>
      <c r="CB962" s="53"/>
      <c r="CC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  <c r="BS963" s="53"/>
      <c r="BT963" s="53"/>
      <c r="BU963" s="53"/>
      <c r="BV963" s="53"/>
      <c r="BW963" s="53"/>
      <c r="BX963" s="53"/>
      <c r="BY963" s="53"/>
      <c r="BZ963" s="53"/>
      <c r="CA963" s="53"/>
      <c r="CB963" s="53"/>
      <c r="CC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  <c r="BS964" s="53"/>
      <c r="BT964" s="53"/>
      <c r="BU964" s="53"/>
      <c r="BV964" s="53"/>
      <c r="BW964" s="53"/>
      <c r="BX964" s="53"/>
      <c r="BY964" s="53"/>
      <c r="BZ964" s="53"/>
      <c r="CA964" s="53"/>
      <c r="CB964" s="53"/>
      <c r="CC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  <c r="BS965" s="53"/>
      <c r="BT965" s="53"/>
      <c r="BU965" s="53"/>
      <c r="BV965" s="53"/>
      <c r="BW965" s="53"/>
      <c r="BX965" s="53"/>
      <c r="BY965" s="53"/>
      <c r="BZ965" s="53"/>
      <c r="CA965" s="53"/>
      <c r="CB965" s="53"/>
      <c r="CC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  <c r="BS966" s="53"/>
      <c r="BT966" s="53"/>
      <c r="BU966" s="53"/>
      <c r="BV966" s="53"/>
      <c r="BW966" s="53"/>
      <c r="BX966" s="53"/>
      <c r="BY966" s="53"/>
      <c r="BZ966" s="53"/>
      <c r="CA966" s="53"/>
      <c r="CB966" s="53"/>
      <c r="CC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  <c r="BS967" s="53"/>
      <c r="BT967" s="53"/>
      <c r="BU967" s="53"/>
      <c r="BV967" s="53"/>
      <c r="BW967" s="53"/>
      <c r="BX967" s="53"/>
      <c r="BY967" s="53"/>
      <c r="BZ967" s="53"/>
      <c r="CA967" s="53"/>
      <c r="CB967" s="53"/>
      <c r="CC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  <c r="BS968" s="53"/>
      <c r="BT968" s="53"/>
      <c r="BU968" s="53"/>
      <c r="BV968" s="53"/>
      <c r="BW968" s="53"/>
      <c r="BX968" s="53"/>
      <c r="BY968" s="53"/>
      <c r="BZ968" s="53"/>
      <c r="CA968" s="53"/>
      <c r="CB968" s="53"/>
      <c r="CC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  <c r="BS969" s="53"/>
      <c r="BT969" s="53"/>
      <c r="BU969" s="53"/>
      <c r="BV969" s="53"/>
      <c r="BW969" s="53"/>
      <c r="BX969" s="53"/>
      <c r="BY969" s="53"/>
      <c r="BZ969" s="53"/>
      <c r="CA969" s="53"/>
      <c r="CB969" s="53"/>
      <c r="CC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  <c r="BS970" s="53"/>
      <c r="BT970" s="53"/>
      <c r="BU970" s="53"/>
      <c r="BV970" s="53"/>
      <c r="BW970" s="53"/>
      <c r="BX970" s="53"/>
      <c r="BY970" s="53"/>
      <c r="BZ970" s="53"/>
      <c r="CA970" s="53"/>
      <c r="CB970" s="53"/>
      <c r="CC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  <c r="BS971" s="53"/>
      <c r="BT971" s="53"/>
      <c r="BU971" s="53"/>
      <c r="BV971" s="53"/>
      <c r="BW971" s="53"/>
      <c r="BX971" s="53"/>
      <c r="BY971" s="53"/>
      <c r="BZ971" s="53"/>
      <c r="CA971" s="53"/>
      <c r="CB971" s="53"/>
      <c r="CC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  <c r="BS972" s="53"/>
      <c r="BT972" s="53"/>
      <c r="BU972" s="53"/>
      <c r="BV972" s="53"/>
      <c r="BW972" s="53"/>
      <c r="BX972" s="53"/>
      <c r="BY972" s="53"/>
      <c r="BZ972" s="53"/>
      <c r="CA972" s="53"/>
      <c r="CB972" s="53"/>
      <c r="CC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  <c r="BS973" s="53"/>
      <c r="BT973" s="53"/>
      <c r="BU973" s="53"/>
      <c r="BV973" s="53"/>
      <c r="BW973" s="53"/>
      <c r="BX973" s="53"/>
      <c r="BY973" s="53"/>
      <c r="BZ973" s="53"/>
      <c r="CA973" s="53"/>
      <c r="CB973" s="53"/>
      <c r="CC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  <c r="BS974" s="53"/>
      <c r="BT974" s="53"/>
      <c r="BU974" s="53"/>
      <c r="BV974" s="53"/>
      <c r="BW974" s="53"/>
      <c r="BX974" s="53"/>
      <c r="BY974" s="53"/>
      <c r="BZ974" s="53"/>
      <c r="CA974" s="53"/>
      <c r="CB974" s="53"/>
      <c r="CC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  <c r="BS975" s="53"/>
      <c r="BT975" s="53"/>
      <c r="BU975" s="53"/>
      <c r="BV975" s="53"/>
      <c r="BW975" s="53"/>
      <c r="BX975" s="53"/>
      <c r="BY975" s="53"/>
      <c r="BZ975" s="53"/>
      <c r="CA975" s="53"/>
      <c r="CB975" s="53"/>
      <c r="CC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  <c r="BS976" s="53"/>
      <c r="BT976" s="53"/>
      <c r="BU976" s="53"/>
      <c r="BV976" s="53"/>
      <c r="BW976" s="53"/>
      <c r="BX976" s="53"/>
      <c r="BY976" s="53"/>
      <c r="BZ976" s="53"/>
      <c r="CA976" s="53"/>
      <c r="CB976" s="53"/>
      <c r="CC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  <c r="BS977" s="53"/>
      <c r="BT977" s="53"/>
      <c r="BU977" s="53"/>
      <c r="BV977" s="53"/>
      <c r="BW977" s="53"/>
      <c r="BX977" s="53"/>
      <c r="BY977" s="53"/>
      <c r="BZ977" s="53"/>
      <c r="CA977" s="53"/>
      <c r="CB977" s="53"/>
      <c r="CC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  <c r="BS978" s="53"/>
      <c r="BT978" s="53"/>
      <c r="BU978" s="53"/>
      <c r="BV978" s="53"/>
      <c r="BW978" s="53"/>
      <c r="BX978" s="53"/>
      <c r="BY978" s="53"/>
      <c r="BZ978" s="53"/>
      <c r="CA978" s="53"/>
      <c r="CB978" s="53"/>
      <c r="CC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  <c r="BS979" s="53"/>
      <c r="BT979" s="53"/>
      <c r="BU979" s="53"/>
      <c r="BV979" s="53"/>
      <c r="BW979" s="53"/>
      <c r="BX979" s="53"/>
      <c r="BY979" s="53"/>
      <c r="BZ979" s="53"/>
      <c r="CA979" s="53"/>
      <c r="CB979" s="53"/>
      <c r="CC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  <c r="BS980" s="53"/>
      <c r="BT980" s="53"/>
      <c r="BU980" s="53"/>
      <c r="BV980" s="53"/>
      <c r="BW980" s="53"/>
      <c r="BX980" s="53"/>
      <c r="BY980" s="53"/>
      <c r="BZ980" s="53"/>
      <c r="CA980" s="53"/>
      <c r="CB980" s="53"/>
      <c r="CC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  <c r="BS981" s="53"/>
      <c r="BT981" s="53"/>
      <c r="BU981" s="53"/>
      <c r="BV981" s="53"/>
      <c r="BW981" s="53"/>
      <c r="BX981" s="53"/>
      <c r="BY981" s="53"/>
      <c r="BZ981" s="53"/>
      <c r="CA981" s="53"/>
      <c r="CB981" s="53"/>
      <c r="CC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  <c r="BS982" s="53"/>
      <c r="BT982" s="53"/>
      <c r="BU982" s="53"/>
      <c r="BV982" s="53"/>
      <c r="BW982" s="53"/>
      <c r="BX982" s="53"/>
      <c r="BY982" s="53"/>
      <c r="BZ982" s="53"/>
      <c r="CA982" s="53"/>
      <c r="CB982" s="53"/>
      <c r="CC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  <c r="BS983" s="53"/>
      <c r="BT983" s="53"/>
      <c r="BU983" s="53"/>
      <c r="BV983" s="53"/>
      <c r="BW983" s="53"/>
      <c r="BX983" s="53"/>
      <c r="BY983" s="53"/>
      <c r="BZ983" s="53"/>
      <c r="CA983" s="53"/>
      <c r="CB983" s="53"/>
      <c r="CC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  <c r="BS984" s="53"/>
      <c r="BT984" s="53"/>
      <c r="BU984" s="53"/>
      <c r="BV984" s="53"/>
      <c r="BW984" s="53"/>
      <c r="BX984" s="53"/>
      <c r="BY984" s="53"/>
      <c r="BZ984" s="53"/>
      <c r="CA984" s="53"/>
      <c r="CB984" s="53"/>
      <c r="CC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  <c r="BS985" s="53"/>
      <c r="BT985" s="53"/>
      <c r="BU985" s="53"/>
      <c r="BV985" s="53"/>
      <c r="BW985" s="53"/>
      <c r="BX985" s="53"/>
      <c r="BY985" s="53"/>
      <c r="BZ985" s="53"/>
      <c r="CA985" s="53"/>
      <c r="CB985" s="53"/>
      <c r="CC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  <c r="BS986" s="53"/>
      <c r="BT986" s="53"/>
      <c r="BU986" s="53"/>
      <c r="BV986" s="53"/>
      <c r="BW986" s="53"/>
      <c r="BX986" s="53"/>
      <c r="BY986" s="53"/>
      <c r="BZ986" s="53"/>
      <c r="CA986" s="53"/>
      <c r="CB986" s="53"/>
      <c r="CC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  <c r="BS987" s="53"/>
      <c r="BT987" s="53"/>
      <c r="BU987" s="53"/>
      <c r="BV987" s="53"/>
      <c r="BW987" s="53"/>
      <c r="BX987" s="53"/>
      <c r="BY987" s="53"/>
      <c r="BZ987" s="53"/>
      <c r="CA987" s="53"/>
      <c r="CB987" s="53"/>
      <c r="CC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  <c r="BS988" s="53"/>
      <c r="BT988" s="53"/>
      <c r="BU988" s="53"/>
      <c r="BV988" s="53"/>
      <c r="BW988" s="53"/>
      <c r="BX988" s="53"/>
      <c r="BY988" s="53"/>
      <c r="BZ988" s="53"/>
      <c r="CA988" s="53"/>
      <c r="CB988" s="53"/>
      <c r="CC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  <c r="BS989" s="53"/>
      <c r="BT989" s="53"/>
      <c r="BU989" s="53"/>
      <c r="BV989" s="53"/>
      <c r="BW989" s="53"/>
      <c r="BX989" s="53"/>
      <c r="BY989" s="53"/>
      <c r="BZ989" s="53"/>
      <c r="CA989" s="53"/>
      <c r="CB989" s="53"/>
      <c r="CC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  <c r="BS990" s="53"/>
      <c r="BT990" s="53"/>
      <c r="BU990" s="53"/>
      <c r="BV990" s="53"/>
      <c r="BW990" s="53"/>
      <c r="BX990" s="53"/>
      <c r="BY990" s="53"/>
      <c r="BZ990" s="53"/>
      <c r="CA990" s="53"/>
      <c r="CB990" s="53"/>
      <c r="CC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  <c r="BS991" s="53"/>
      <c r="BT991" s="53"/>
      <c r="BU991" s="53"/>
      <c r="BV991" s="53"/>
      <c r="BW991" s="53"/>
      <c r="BX991" s="53"/>
      <c r="BY991" s="53"/>
      <c r="BZ991" s="53"/>
      <c r="CA991" s="53"/>
      <c r="CB991" s="53"/>
      <c r="CC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  <c r="BS992" s="53"/>
      <c r="BT992" s="53"/>
      <c r="BU992" s="53"/>
      <c r="BV992" s="53"/>
      <c r="BW992" s="53"/>
      <c r="BX992" s="53"/>
      <c r="BY992" s="53"/>
      <c r="BZ992" s="53"/>
      <c r="CA992" s="53"/>
      <c r="CB992" s="53"/>
      <c r="CC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  <c r="BS993" s="53"/>
      <c r="BT993" s="53"/>
      <c r="BU993" s="53"/>
      <c r="BV993" s="53"/>
      <c r="BW993" s="53"/>
      <c r="BX993" s="53"/>
      <c r="BY993" s="53"/>
      <c r="BZ993" s="53"/>
      <c r="CA993" s="53"/>
      <c r="CB993" s="53"/>
      <c r="CC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  <c r="BS994" s="53"/>
      <c r="BT994" s="53"/>
      <c r="BU994" s="53"/>
      <c r="BV994" s="53"/>
      <c r="BW994" s="53"/>
      <c r="BX994" s="53"/>
      <c r="BY994" s="53"/>
      <c r="BZ994" s="53"/>
      <c r="CA994" s="53"/>
      <c r="CB994" s="53"/>
      <c r="CC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  <c r="BS995" s="53"/>
      <c r="BT995" s="53"/>
      <c r="BU995" s="53"/>
      <c r="BV995" s="53"/>
      <c r="BW995" s="53"/>
      <c r="BX995" s="53"/>
      <c r="BY995" s="53"/>
      <c r="BZ995" s="53"/>
      <c r="CA995" s="53"/>
      <c r="CB995" s="53"/>
      <c r="CC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  <c r="BS996" s="53"/>
      <c r="BT996" s="53"/>
      <c r="BU996" s="53"/>
      <c r="BV996" s="53"/>
      <c r="BW996" s="53"/>
      <c r="BX996" s="53"/>
      <c r="BY996" s="53"/>
      <c r="BZ996" s="53"/>
      <c r="CA996" s="53"/>
      <c r="CB996" s="53"/>
      <c r="CC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/>
      <c r="BR997" s="53"/>
      <c r="BS997" s="53"/>
      <c r="BT997" s="53"/>
      <c r="BU997" s="53"/>
      <c r="BV997" s="53"/>
      <c r="BW997" s="53"/>
      <c r="BX997" s="53"/>
      <c r="BY997" s="53"/>
      <c r="BZ997" s="53"/>
      <c r="CA997" s="53"/>
      <c r="CB997" s="53"/>
      <c r="CC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/>
      <c r="BR998" s="53"/>
      <c r="BS998" s="53"/>
      <c r="BT998" s="53"/>
      <c r="BU998" s="53"/>
      <c r="BV998" s="53"/>
      <c r="BW998" s="53"/>
      <c r="BX998" s="53"/>
      <c r="BY998" s="53"/>
      <c r="BZ998" s="53"/>
      <c r="CA998" s="53"/>
      <c r="CB998" s="53"/>
      <c r="CC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  <c r="BS999" s="53"/>
      <c r="BT999" s="53"/>
      <c r="BU999" s="53"/>
      <c r="BV999" s="53"/>
      <c r="BW999" s="53"/>
      <c r="BX999" s="53"/>
      <c r="BY999" s="53"/>
      <c r="BZ999" s="53"/>
      <c r="CA999" s="53"/>
      <c r="CB999" s="53"/>
      <c r="CC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/>
      <c r="BR1000" s="53"/>
      <c r="BS1000" s="53"/>
      <c r="BT1000" s="53"/>
      <c r="BU1000" s="53"/>
      <c r="BV1000" s="53"/>
      <c r="BW1000" s="53"/>
      <c r="BX1000" s="53"/>
      <c r="BY1000" s="53"/>
      <c r="BZ1000" s="53"/>
      <c r="CA1000" s="53"/>
      <c r="CB1000" s="53"/>
      <c r="CC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  <c r="BC1001" s="53"/>
      <c r="BD1001" s="53"/>
      <c r="BE1001" s="53"/>
      <c r="BF1001" s="53"/>
      <c r="BG1001" s="53"/>
      <c r="BH1001" s="53"/>
      <c r="BI1001" s="53"/>
      <c r="BJ1001" s="53"/>
      <c r="BK1001" s="53"/>
      <c r="BL1001" s="53"/>
      <c r="BM1001" s="53"/>
      <c r="BN1001" s="53"/>
      <c r="BO1001" s="53"/>
      <c r="BP1001" s="53"/>
      <c r="BQ1001" s="53"/>
      <c r="BR1001" s="53"/>
      <c r="BS1001" s="53"/>
      <c r="BT1001" s="53"/>
      <c r="BU1001" s="53"/>
      <c r="BV1001" s="53"/>
      <c r="BW1001" s="53"/>
      <c r="BX1001" s="53"/>
      <c r="BY1001" s="53"/>
      <c r="BZ1001" s="53"/>
      <c r="CA1001" s="53"/>
      <c r="CB1001" s="53"/>
      <c r="CC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  <c r="BC1002" s="53"/>
      <c r="BD1002" s="53"/>
      <c r="BE1002" s="53"/>
      <c r="BF1002" s="53"/>
      <c r="BG1002" s="53"/>
      <c r="BH1002" s="53"/>
      <c r="BI1002" s="53"/>
      <c r="BJ1002" s="53"/>
      <c r="BK1002" s="53"/>
      <c r="BL1002" s="53"/>
      <c r="BM1002" s="53"/>
      <c r="BN1002" s="53"/>
      <c r="BO1002" s="53"/>
      <c r="BP1002" s="53"/>
      <c r="BQ1002" s="53"/>
      <c r="BR1002" s="53"/>
      <c r="BS1002" s="53"/>
      <c r="BT1002" s="53"/>
      <c r="BU1002" s="53"/>
      <c r="BV1002" s="53"/>
      <c r="BW1002" s="53"/>
      <c r="BX1002" s="53"/>
      <c r="BY1002" s="53"/>
      <c r="BZ1002" s="53"/>
      <c r="CA1002" s="53"/>
      <c r="CB1002" s="53"/>
      <c r="CC1002" s="53"/>
    </row>
  </sheetData>
  <mergeCells count="19">
    <mergeCell ref="C3:E3"/>
    <mergeCell ref="F3:H3"/>
    <mergeCell ref="I3:K3"/>
    <mergeCell ref="L3:N3"/>
    <mergeCell ref="O3:Q3"/>
    <mergeCell ref="R3:T3"/>
    <mergeCell ref="U3:W3"/>
    <mergeCell ref="AS3:AU3"/>
    <mergeCell ref="AV3:AX3"/>
    <mergeCell ref="AY3:BA3"/>
    <mergeCell ref="BB3:BD3"/>
    <mergeCell ref="BE3:BG3"/>
    <mergeCell ref="X3:Z3"/>
    <mergeCell ref="AA3:AC3"/>
    <mergeCell ref="AD3:AF3"/>
    <mergeCell ref="AG3:AI3"/>
    <mergeCell ref="AJ3:AL3"/>
    <mergeCell ref="AM3:AO3"/>
    <mergeCell ref="AP3:AR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6" max="56" width="12.63"/>
  </cols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</row>
    <row r="2">
      <c r="A2" s="53"/>
      <c r="B2" s="55" t="s">
        <v>152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</row>
    <row r="3">
      <c r="A3" s="53"/>
      <c r="B3" s="56"/>
      <c r="C3" s="57">
        <v>46113.0</v>
      </c>
      <c r="D3" s="25"/>
      <c r="E3" s="11"/>
      <c r="F3" s="57">
        <v>46143.0</v>
      </c>
      <c r="G3" s="25"/>
      <c r="H3" s="11"/>
      <c r="I3" s="57">
        <v>46174.0</v>
      </c>
      <c r="J3" s="25"/>
      <c r="K3" s="11"/>
      <c r="L3" s="58" t="s">
        <v>24</v>
      </c>
      <c r="M3" s="25"/>
      <c r="N3" s="11"/>
      <c r="O3" s="57">
        <v>46204.0</v>
      </c>
      <c r="P3" s="25"/>
      <c r="Q3" s="11"/>
      <c r="R3" s="57">
        <v>46235.0</v>
      </c>
      <c r="S3" s="25"/>
      <c r="T3" s="11"/>
      <c r="U3" s="57">
        <v>46266.0</v>
      </c>
      <c r="V3" s="25"/>
      <c r="W3" s="11"/>
      <c r="X3" s="58" t="s">
        <v>29</v>
      </c>
      <c r="Y3" s="25"/>
      <c r="Z3" s="11"/>
      <c r="AA3" s="58" t="s">
        <v>31</v>
      </c>
      <c r="AB3" s="25"/>
      <c r="AC3" s="11"/>
      <c r="AD3" s="57">
        <v>46296.0</v>
      </c>
      <c r="AE3" s="25"/>
      <c r="AF3" s="11"/>
      <c r="AG3" s="57">
        <v>46327.0</v>
      </c>
      <c r="AH3" s="25"/>
      <c r="AI3" s="11"/>
      <c r="AJ3" s="57">
        <v>46357.0</v>
      </c>
      <c r="AK3" s="25"/>
      <c r="AL3" s="11"/>
      <c r="AM3" s="58" t="s">
        <v>33</v>
      </c>
      <c r="AN3" s="25"/>
      <c r="AO3" s="11"/>
      <c r="AP3" s="57">
        <v>46388.0</v>
      </c>
      <c r="AQ3" s="25"/>
      <c r="AR3" s="11"/>
      <c r="AS3" s="57">
        <v>46419.0</v>
      </c>
      <c r="AT3" s="25"/>
      <c r="AU3" s="11"/>
      <c r="AV3" s="57">
        <v>46447.0</v>
      </c>
      <c r="AW3" s="25"/>
      <c r="AX3" s="11"/>
      <c r="AY3" s="58" t="s">
        <v>37</v>
      </c>
      <c r="AZ3" s="25"/>
      <c r="BA3" s="11"/>
      <c r="BB3" s="58" t="s">
        <v>39</v>
      </c>
      <c r="BC3" s="25"/>
      <c r="BD3" s="11"/>
      <c r="BE3" s="58" t="s">
        <v>42</v>
      </c>
      <c r="BF3" s="25"/>
      <c r="BG3" s="11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</row>
    <row r="4">
      <c r="A4" s="53"/>
      <c r="B4" s="59" t="s">
        <v>2</v>
      </c>
      <c r="C4" s="60" t="s">
        <v>48</v>
      </c>
      <c r="D4" s="60" t="s">
        <v>49</v>
      </c>
      <c r="E4" s="60" t="s">
        <v>51</v>
      </c>
      <c r="F4" s="60" t="s">
        <v>48</v>
      </c>
      <c r="G4" s="60" t="s">
        <v>49</v>
      </c>
      <c r="H4" s="60" t="s">
        <v>51</v>
      </c>
      <c r="I4" s="60" t="s">
        <v>48</v>
      </c>
      <c r="J4" s="60" t="s">
        <v>49</v>
      </c>
      <c r="K4" s="60" t="s">
        <v>51</v>
      </c>
      <c r="L4" s="60" t="s">
        <v>48</v>
      </c>
      <c r="M4" s="60" t="s">
        <v>49</v>
      </c>
      <c r="N4" s="60" t="s">
        <v>51</v>
      </c>
      <c r="O4" s="60" t="s">
        <v>48</v>
      </c>
      <c r="P4" s="60" t="s">
        <v>49</v>
      </c>
      <c r="Q4" s="60" t="s">
        <v>51</v>
      </c>
      <c r="R4" s="60" t="s">
        <v>48</v>
      </c>
      <c r="S4" s="60" t="s">
        <v>49</v>
      </c>
      <c r="T4" s="60" t="s">
        <v>51</v>
      </c>
      <c r="U4" s="60" t="s">
        <v>48</v>
      </c>
      <c r="V4" s="60" t="s">
        <v>49</v>
      </c>
      <c r="W4" s="60" t="s">
        <v>51</v>
      </c>
      <c r="X4" s="60" t="s">
        <v>48</v>
      </c>
      <c r="Y4" s="60" t="s">
        <v>49</v>
      </c>
      <c r="Z4" s="60" t="s">
        <v>51</v>
      </c>
      <c r="AA4" s="60" t="s">
        <v>48</v>
      </c>
      <c r="AB4" s="60" t="s">
        <v>49</v>
      </c>
      <c r="AC4" s="60" t="s">
        <v>51</v>
      </c>
      <c r="AD4" s="60" t="s">
        <v>48</v>
      </c>
      <c r="AE4" s="60" t="s">
        <v>49</v>
      </c>
      <c r="AF4" s="60" t="s">
        <v>51</v>
      </c>
      <c r="AG4" s="60" t="s">
        <v>48</v>
      </c>
      <c r="AH4" s="60" t="s">
        <v>49</v>
      </c>
      <c r="AI4" s="60" t="s">
        <v>51</v>
      </c>
      <c r="AJ4" s="60" t="s">
        <v>48</v>
      </c>
      <c r="AK4" s="60" t="s">
        <v>49</v>
      </c>
      <c r="AL4" s="60" t="s">
        <v>51</v>
      </c>
      <c r="AM4" s="60" t="s">
        <v>48</v>
      </c>
      <c r="AN4" s="60" t="s">
        <v>49</v>
      </c>
      <c r="AO4" s="60" t="s">
        <v>51</v>
      </c>
      <c r="AP4" s="60" t="s">
        <v>48</v>
      </c>
      <c r="AQ4" s="60" t="s">
        <v>49</v>
      </c>
      <c r="AR4" s="60" t="s">
        <v>51</v>
      </c>
      <c r="AS4" s="60" t="s">
        <v>48</v>
      </c>
      <c r="AT4" s="60" t="s">
        <v>49</v>
      </c>
      <c r="AU4" s="60" t="s">
        <v>51</v>
      </c>
      <c r="AV4" s="60" t="s">
        <v>48</v>
      </c>
      <c r="AW4" s="60" t="s">
        <v>49</v>
      </c>
      <c r="AX4" s="60" t="s">
        <v>51</v>
      </c>
      <c r="AY4" s="60" t="s">
        <v>48</v>
      </c>
      <c r="AZ4" s="60" t="s">
        <v>49</v>
      </c>
      <c r="BA4" s="60" t="s">
        <v>51</v>
      </c>
      <c r="BB4" s="60" t="s">
        <v>48</v>
      </c>
      <c r="BC4" s="60" t="s">
        <v>49</v>
      </c>
      <c r="BD4" s="60" t="s">
        <v>51</v>
      </c>
      <c r="BE4" s="60" t="s">
        <v>48</v>
      </c>
      <c r="BF4" s="60" t="s">
        <v>49</v>
      </c>
      <c r="BG4" s="60" t="s">
        <v>51</v>
      </c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</row>
    <row r="5">
      <c r="A5" s="53"/>
      <c r="B5" s="59" t="s">
        <v>62</v>
      </c>
      <c r="C5" s="61">
        <v>3.0</v>
      </c>
      <c r="D5" s="62"/>
      <c r="E5" s="63">
        <f t="shared" ref="E5:E10" si="8">D5/C5</f>
        <v>0</v>
      </c>
      <c r="F5" s="61">
        <v>3.0</v>
      </c>
      <c r="G5" s="62"/>
      <c r="H5" s="63">
        <f t="shared" ref="H5:H10" si="9">G5/F5</f>
        <v>0</v>
      </c>
      <c r="I5" s="61">
        <v>3.0</v>
      </c>
      <c r="J5" s="62"/>
      <c r="K5" s="63">
        <f t="shared" ref="K5:K10" si="10">J5/I5</f>
        <v>0</v>
      </c>
      <c r="L5" s="60">
        <f t="shared" ref="L5:M5" si="1">C5+F5+I5</f>
        <v>9</v>
      </c>
      <c r="M5" s="60">
        <f t="shared" si="1"/>
        <v>0</v>
      </c>
      <c r="N5" s="63">
        <f t="shared" ref="N5:N10" si="12">M5/L5</f>
        <v>0</v>
      </c>
      <c r="O5" s="61">
        <v>3.0</v>
      </c>
      <c r="P5" s="62"/>
      <c r="Q5" s="63">
        <f t="shared" ref="Q5:Q10" si="13">P5/O5</f>
        <v>0</v>
      </c>
      <c r="R5" s="61">
        <v>3.0</v>
      </c>
      <c r="S5" s="62"/>
      <c r="T5" s="63">
        <f t="shared" ref="T5:T10" si="14">S5/R5</f>
        <v>0</v>
      </c>
      <c r="U5" s="61">
        <v>3.0</v>
      </c>
      <c r="V5" s="62"/>
      <c r="W5" s="63">
        <f t="shared" ref="W5:W10" si="15">V5/U5</f>
        <v>0</v>
      </c>
      <c r="X5" s="60">
        <f t="shared" ref="X5:Y5" si="2">O5+R5+U5</f>
        <v>9</v>
      </c>
      <c r="Y5" s="60">
        <f t="shared" si="2"/>
        <v>0</v>
      </c>
      <c r="Z5" s="63">
        <f t="shared" ref="Z5:Z10" si="17">Y5/X5</f>
        <v>0</v>
      </c>
      <c r="AA5" s="60">
        <f t="shared" ref="AA5:AB5" si="3">L5+X5</f>
        <v>18</v>
      </c>
      <c r="AB5" s="60">
        <f t="shared" si="3"/>
        <v>0</v>
      </c>
      <c r="AC5" s="63">
        <f t="shared" ref="AC5:AC10" si="19">AB5/AA5</f>
        <v>0</v>
      </c>
      <c r="AD5" s="61">
        <v>3.0</v>
      </c>
      <c r="AE5" s="62"/>
      <c r="AF5" s="63">
        <f t="shared" ref="AF5:AF10" si="20">AE5/AD5</f>
        <v>0</v>
      </c>
      <c r="AG5" s="61">
        <v>3.0</v>
      </c>
      <c r="AH5" s="62"/>
      <c r="AI5" s="63">
        <f t="shared" ref="AI5:AI10" si="21">AH5/AG5</f>
        <v>0</v>
      </c>
      <c r="AJ5" s="61">
        <v>3.0</v>
      </c>
      <c r="AK5" s="62"/>
      <c r="AL5" s="63">
        <f t="shared" ref="AL5:AL10" si="22">AK5/AJ5</f>
        <v>0</v>
      </c>
      <c r="AM5" s="60">
        <f t="shared" ref="AM5:AN5" si="4">AD5+AG5+AJ5</f>
        <v>9</v>
      </c>
      <c r="AN5" s="60">
        <f t="shared" si="4"/>
        <v>0</v>
      </c>
      <c r="AO5" s="63">
        <f t="shared" ref="AO5:AO10" si="24">AN5/AM5</f>
        <v>0</v>
      </c>
      <c r="AP5" s="61">
        <v>3.0</v>
      </c>
      <c r="AQ5" s="62"/>
      <c r="AR5" s="63">
        <f t="shared" ref="AR5:AR10" si="25">AQ5/AP5</f>
        <v>0</v>
      </c>
      <c r="AS5" s="61">
        <v>3.0</v>
      </c>
      <c r="AT5" s="62"/>
      <c r="AU5" s="63">
        <f t="shared" ref="AU5:AU10" si="26">AT5/AS5</f>
        <v>0</v>
      </c>
      <c r="AV5" s="61">
        <v>3.0</v>
      </c>
      <c r="AW5" s="62"/>
      <c r="AX5" s="63">
        <f t="shared" ref="AX5:AX10" si="27">AW5/AV5</f>
        <v>0</v>
      </c>
      <c r="AY5" s="60">
        <f t="shared" ref="AY5:AZ5" si="5">AP5+AS5+AV5</f>
        <v>9</v>
      </c>
      <c r="AZ5" s="60">
        <f t="shared" si="5"/>
        <v>0</v>
      </c>
      <c r="BA5" s="63">
        <f t="shared" ref="BA5:BA10" si="29">AZ5/AY5</f>
        <v>0</v>
      </c>
      <c r="BB5" s="60">
        <f t="shared" ref="BB5:BC5" si="6">AM5+AY5</f>
        <v>18</v>
      </c>
      <c r="BC5" s="60">
        <f t="shared" si="6"/>
        <v>0</v>
      </c>
      <c r="BD5" s="63">
        <f t="shared" ref="BD5:BD10" si="31">BC5/BB5</f>
        <v>0</v>
      </c>
      <c r="BE5" s="60">
        <f t="shared" ref="BE5:BF5" si="7">BB5+AA5</f>
        <v>36</v>
      </c>
      <c r="BF5" s="60">
        <f t="shared" si="7"/>
        <v>0</v>
      </c>
      <c r="BG5" s="63">
        <f t="shared" ref="BG5:BG10" si="33">BF5/BE5</f>
        <v>0</v>
      </c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</row>
    <row r="6">
      <c r="A6" s="53"/>
      <c r="B6" s="59" t="s">
        <v>90</v>
      </c>
      <c r="C6" s="61">
        <v>1.8</v>
      </c>
      <c r="D6" s="62"/>
      <c r="E6" s="63">
        <f t="shared" si="8"/>
        <v>0</v>
      </c>
      <c r="F6" s="61">
        <v>1.8</v>
      </c>
      <c r="G6" s="62"/>
      <c r="H6" s="63">
        <f t="shared" si="9"/>
        <v>0</v>
      </c>
      <c r="I6" s="61">
        <v>1.8</v>
      </c>
      <c r="J6" s="62"/>
      <c r="K6" s="63">
        <f t="shared" si="10"/>
        <v>0</v>
      </c>
      <c r="L6" s="60">
        <f t="shared" ref="L6:M6" si="11">C6+F6+I6</f>
        <v>5.4</v>
      </c>
      <c r="M6" s="60">
        <f t="shared" si="11"/>
        <v>0</v>
      </c>
      <c r="N6" s="63">
        <f t="shared" si="12"/>
        <v>0</v>
      </c>
      <c r="O6" s="61">
        <v>1.8</v>
      </c>
      <c r="P6" s="62"/>
      <c r="Q6" s="63">
        <f t="shared" si="13"/>
        <v>0</v>
      </c>
      <c r="R6" s="61">
        <v>1.8</v>
      </c>
      <c r="S6" s="62"/>
      <c r="T6" s="63">
        <f t="shared" si="14"/>
        <v>0</v>
      </c>
      <c r="U6" s="61">
        <v>1.8</v>
      </c>
      <c r="V6" s="62"/>
      <c r="W6" s="63">
        <f t="shared" si="15"/>
        <v>0</v>
      </c>
      <c r="X6" s="60">
        <f t="shared" ref="X6:Y6" si="16">O6+R6+U6</f>
        <v>5.4</v>
      </c>
      <c r="Y6" s="60">
        <f t="shared" si="16"/>
        <v>0</v>
      </c>
      <c r="Z6" s="63">
        <f t="shared" si="17"/>
        <v>0</v>
      </c>
      <c r="AA6" s="60">
        <f t="shared" ref="AA6:AB6" si="18">L6+X6</f>
        <v>10.8</v>
      </c>
      <c r="AB6" s="60">
        <f t="shared" si="18"/>
        <v>0</v>
      </c>
      <c r="AC6" s="63">
        <f t="shared" si="19"/>
        <v>0</v>
      </c>
      <c r="AD6" s="61">
        <v>1.8</v>
      </c>
      <c r="AE6" s="62"/>
      <c r="AF6" s="63">
        <f t="shared" si="20"/>
        <v>0</v>
      </c>
      <c r="AG6" s="61">
        <v>1.8</v>
      </c>
      <c r="AH6" s="62"/>
      <c r="AI6" s="63">
        <f t="shared" si="21"/>
        <v>0</v>
      </c>
      <c r="AJ6" s="61">
        <v>1.8</v>
      </c>
      <c r="AK6" s="62"/>
      <c r="AL6" s="63">
        <f t="shared" si="22"/>
        <v>0</v>
      </c>
      <c r="AM6" s="60">
        <f t="shared" ref="AM6:AN6" si="23">AD6+AG6+AJ6</f>
        <v>5.4</v>
      </c>
      <c r="AN6" s="60">
        <f t="shared" si="23"/>
        <v>0</v>
      </c>
      <c r="AO6" s="63">
        <f t="shared" si="24"/>
        <v>0</v>
      </c>
      <c r="AP6" s="61">
        <v>1.8</v>
      </c>
      <c r="AQ6" s="62"/>
      <c r="AR6" s="63">
        <f t="shared" si="25"/>
        <v>0</v>
      </c>
      <c r="AS6" s="61">
        <v>1.8</v>
      </c>
      <c r="AT6" s="62"/>
      <c r="AU6" s="63">
        <f t="shared" si="26"/>
        <v>0</v>
      </c>
      <c r="AV6" s="61">
        <v>1.8</v>
      </c>
      <c r="AW6" s="62"/>
      <c r="AX6" s="63">
        <f t="shared" si="27"/>
        <v>0</v>
      </c>
      <c r="AY6" s="60">
        <f t="shared" ref="AY6:AZ6" si="28">AP6+AS6+AV6</f>
        <v>5.4</v>
      </c>
      <c r="AZ6" s="60">
        <f t="shared" si="28"/>
        <v>0</v>
      </c>
      <c r="BA6" s="63">
        <f t="shared" si="29"/>
        <v>0</v>
      </c>
      <c r="BB6" s="60">
        <f t="shared" ref="BB6:BC6" si="30">AM6+AY6</f>
        <v>10.8</v>
      </c>
      <c r="BC6" s="60">
        <f t="shared" si="30"/>
        <v>0</v>
      </c>
      <c r="BD6" s="63">
        <f t="shared" si="31"/>
        <v>0</v>
      </c>
      <c r="BE6" s="60">
        <f t="shared" ref="BE6:BF6" si="32">BB6+AA6</f>
        <v>21.6</v>
      </c>
      <c r="BF6" s="60">
        <f t="shared" si="32"/>
        <v>0</v>
      </c>
      <c r="BG6" s="63">
        <f t="shared" si="33"/>
        <v>0</v>
      </c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</row>
    <row r="7">
      <c r="A7" s="53"/>
      <c r="B7" s="59" t="s">
        <v>105</v>
      </c>
      <c r="C7" s="61">
        <v>1.5</v>
      </c>
      <c r="D7" s="62"/>
      <c r="E7" s="63">
        <f t="shared" si="8"/>
        <v>0</v>
      </c>
      <c r="F7" s="61">
        <v>1.5</v>
      </c>
      <c r="G7" s="62"/>
      <c r="H7" s="63">
        <f t="shared" si="9"/>
        <v>0</v>
      </c>
      <c r="I7" s="61">
        <v>1.5</v>
      </c>
      <c r="J7" s="62"/>
      <c r="K7" s="63">
        <f t="shared" si="10"/>
        <v>0</v>
      </c>
      <c r="L7" s="60">
        <f t="shared" ref="L7:M7" si="34">C7+F7+I7</f>
        <v>4.5</v>
      </c>
      <c r="M7" s="60">
        <f t="shared" si="34"/>
        <v>0</v>
      </c>
      <c r="N7" s="63">
        <f t="shared" si="12"/>
        <v>0</v>
      </c>
      <c r="O7" s="61">
        <v>1.5</v>
      </c>
      <c r="P7" s="62"/>
      <c r="Q7" s="63">
        <f t="shared" si="13"/>
        <v>0</v>
      </c>
      <c r="R7" s="61">
        <v>1.5</v>
      </c>
      <c r="S7" s="62"/>
      <c r="T7" s="63">
        <f t="shared" si="14"/>
        <v>0</v>
      </c>
      <c r="U7" s="61">
        <v>1.5</v>
      </c>
      <c r="V7" s="62"/>
      <c r="W7" s="63">
        <f t="shared" si="15"/>
        <v>0</v>
      </c>
      <c r="X7" s="60">
        <f t="shared" ref="X7:Y7" si="35">O7+R7+U7</f>
        <v>4.5</v>
      </c>
      <c r="Y7" s="60">
        <f t="shared" si="35"/>
        <v>0</v>
      </c>
      <c r="Z7" s="63">
        <f t="shared" si="17"/>
        <v>0</v>
      </c>
      <c r="AA7" s="60">
        <f t="shared" ref="AA7:AB7" si="36">L7+X7</f>
        <v>9</v>
      </c>
      <c r="AB7" s="60">
        <f t="shared" si="36"/>
        <v>0</v>
      </c>
      <c r="AC7" s="63">
        <f t="shared" si="19"/>
        <v>0</v>
      </c>
      <c r="AD7" s="61">
        <v>1.5</v>
      </c>
      <c r="AE7" s="62"/>
      <c r="AF7" s="63">
        <f t="shared" si="20"/>
        <v>0</v>
      </c>
      <c r="AG7" s="61">
        <v>1.5</v>
      </c>
      <c r="AH7" s="62"/>
      <c r="AI7" s="63">
        <f t="shared" si="21"/>
        <v>0</v>
      </c>
      <c r="AJ7" s="61">
        <v>1.5</v>
      </c>
      <c r="AK7" s="62"/>
      <c r="AL7" s="63">
        <f t="shared" si="22"/>
        <v>0</v>
      </c>
      <c r="AM7" s="60">
        <f t="shared" ref="AM7:AN7" si="37">AD7+AG7+AJ7</f>
        <v>4.5</v>
      </c>
      <c r="AN7" s="60">
        <f t="shared" si="37"/>
        <v>0</v>
      </c>
      <c r="AO7" s="63">
        <f t="shared" si="24"/>
        <v>0</v>
      </c>
      <c r="AP7" s="61">
        <v>1.5</v>
      </c>
      <c r="AQ7" s="62"/>
      <c r="AR7" s="63">
        <f t="shared" si="25"/>
        <v>0</v>
      </c>
      <c r="AS7" s="61">
        <v>1.5</v>
      </c>
      <c r="AT7" s="62"/>
      <c r="AU7" s="63">
        <f t="shared" si="26"/>
        <v>0</v>
      </c>
      <c r="AV7" s="61">
        <v>1.5</v>
      </c>
      <c r="AW7" s="62"/>
      <c r="AX7" s="63">
        <f t="shared" si="27"/>
        <v>0</v>
      </c>
      <c r="AY7" s="60">
        <f t="shared" ref="AY7:AZ7" si="38">AP7+AS7+AV7</f>
        <v>4.5</v>
      </c>
      <c r="AZ7" s="60">
        <f t="shared" si="38"/>
        <v>0</v>
      </c>
      <c r="BA7" s="63">
        <f t="shared" si="29"/>
        <v>0</v>
      </c>
      <c r="BB7" s="60">
        <f t="shared" ref="BB7:BC7" si="39">AM7+AY7</f>
        <v>9</v>
      </c>
      <c r="BC7" s="60">
        <f t="shared" si="39"/>
        <v>0</v>
      </c>
      <c r="BD7" s="63">
        <f t="shared" si="31"/>
        <v>0</v>
      </c>
      <c r="BE7" s="60">
        <f t="shared" ref="BE7:BF7" si="40">BB7+AA7</f>
        <v>18</v>
      </c>
      <c r="BF7" s="60">
        <f t="shared" si="40"/>
        <v>0</v>
      </c>
      <c r="BG7" s="63">
        <f t="shared" si="33"/>
        <v>0</v>
      </c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</row>
    <row r="8">
      <c r="A8" s="53"/>
      <c r="B8" s="59" t="s">
        <v>122</v>
      </c>
      <c r="C8" s="61">
        <v>0.75</v>
      </c>
      <c r="D8" s="62"/>
      <c r="E8" s="63">
        <f t="shared" si="8"/>
        <v>0</v>
      </c>
      <c r="F8" s="61">
        <v>0.75</v>
      </c>
      <c r="G8" s="62"/>
      <c r="H8" s="63">
        <f t="shared" si="9"/>
        <v>0</v>
      </c>
      <c r="I8" s="61">
        <v>0.75</v>
      </c>
      <c r="J8" s="62"/>
      <c r="K8" s="63">
        <f t="shared" si="10"/>
        <v>0</v>
      </c>
      <c r="L8" s="60">
        <f t="shared" ref="L8:M8" si="41">C8+F8+I8</f>
        <v>2.25</v>
      </c>
      <c r="M8" s="60">
        <f t="shared" si="41"/>
        <v>0</v>
      </c>
      <c r="N8" s="63">
        <f t="shared" si="12"/>
        <v>0</v>
      </c>
      <c r="O8" s="61">
        <v>0.75</v>
      </c>
      <c r="P8" s="62"/>
      <c r="Q8" s="63">
        <f t="shared" si="13"/>
        <v>0</v>
      </c>
      <c r="R8" s="61">
        <v>0.75</v>
      </c>
      <c r="S8" s="62"/>
      <c r="T8" s="63">
        <f t="shared" si="14"/>
        <v>0</v>
      </c>
      <c r="U8" s="61">
        <v>0.75</v>
      </c>
      <c r="V8" s="62"/>
      <c r="W8" s="63">
        <f t="shared" si="15"/>
        <v>0</v>
      </c>
      <c r="X8" s="60">
        <f t="shared" ref="X8:Y8" si="42">O8+R8+U8</f>
        <v>2.25</v>
      </c>
      <c r="Y8" s="60">
        <f t="shared" si="42"/>
        <v>0</v>
      </c>
      <c r="Z8" s="63">
        <f t="shared" si="17"/>
        <v>0</v>
      </c>
      <c r="AA8" s="60">
        <f t="shared" ref="AA8:AB8" si="43">L8+X8</f>
        <v>4.5</v>
      </c>
      <c r="AB8" s="60">
        <f t="shared" si="43"/>
        <v>0</v>
      </c>
      <c r="AC8" s="63">
        <f t="shared" si="19"/>
        <v>0</v>
      </c>
      <c r="AD8" s="61">
        <v>0.75</v>
      </c>
      <c r="AE8" s="62"/>
      <c r="AF8" s="63">
        <f t="shared" si="20"/>
        <v>0</v>
      </c>
      <c r="AG8" s="61">
        <v>0.75</v>
      </c>
      <c r="AH8" s="62"/>
      <c r="AI8" s="63">
        <f t="shared" si="21"/>
        <v>0</v>
      </c>
      <c r="AJ8" s="61">
        <v>0.75</v>
      </c>
      <c r="AK8" s="62"/>
      <c r="AL8" s="63">
        <f t="shared" si="22"/>
        <v>0</v>
      </c>
      <c r="AM8" s="60">
        <f t="shared" ref="AM8:AN8" si="44">AD8+AG8+AJ8</f>
        <v>2.25</v>
      </c>
      <c r="AN8" s="60">
        <f t="shared" si="44"/>
        <v>0</v>
      </c>
      <c r="AO8" s="63">
        <f t="shared" si="24"/>
        <v>0</v>
      </c>
      <c r="AP8" s="61">
        <v>0.75</v>
      </c>
      <c r="AQ8" s="62"/>
      <c r="AR8" s="63">
        <f t="shared" si="25"/>
        <v>0</v>
      </c>
      <c r="AS8" s="61">
        <v>0.75</v>
      </c>
      <c r="AT8" s="62"/>
      <c r="AU8" s="63">
        <f t="shared" si="26"/>
        <v>0</v>
      </c>
      <c r="AV8" s="61">
        <v>0.75</v>
      </c>
      <c r="AW8" s="62"/>
      <c r="AX8" s="63">
        <f t="shared" si="27"/>
        <v>0</v>
      </c>
      <c r="AY8" s="60">
        <f t="shared" ref="AY8:AZ8" si="45">AP8+AS8+AV8</f>
        <v>2.25</v>
      </c>
      <c r="AZ8" s="60">
        <f t="shared" si="45"/>
        <v>0</v>
      </c>
      <c r="BA8" s="63">
        <f t="shared" si="29"/>
        <v>0</v>
      </c>
      <c r="BB8" s="60">
        <f t="shared" ref="BB8:BC8" si="46">AM8+AY8</f>
        <v>4.5</v>
      </c>
      <c r="BC8" s="60">
        <f t="shared" si="46"/>
        <v>0</v>
      </c>
      <c r="BD8" s="63">
        <f t="shared" si="31"/>
        <v>0</v>
      </c>
      <c r="BE8" s="60">
        <f t="shared" ref="BE8:BF8" si="47">BB8+AA8</f>
        <v>9</v>
      </c>
      <c r="BF8" s="60">
        <f t="shared" si="47"/>
        <v>0</v>
      </c>
      <c r="BG8" s="63">
        <f t="shared" si="33"/>
        <v>0</v>
      </c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</row>
    <row r="9">
      <c r="A9" s="53"/>
      <c r="B9" s="32" t="s">
        <v>131</v>
      </c>
      <c r="C9" s="61">
        <v>2.25</v>
      </c>
      <c r="D9" s="62"/>
      <c r="E9" s="63">
        <f t="shared" si="8"/>
        <v>0</v>
      </c>
      <c r="F9" s="61">
        <v>2.25</v>
      </c>
      <c r="G9" s="62"/>
      <c r="H9" s="63">
        <f t="shared" si="9"/>
        <v>0</v>
      </c>
      <c r="I9" s="61">
        <v>2.25</v>
      </c>
      <c r="J9" s="62"/>
      <c r="K9" s="63">
        <f t="shared" si="10"/>
        <v>0</v>
      </c>
      <c r="L9" s="60">
        <f t="shared" ref="L9:M9" si="48">C9+F9+I9</f>
        <v>6.75</v>
      </c>
      <c r="M9" s="60">
        <f t="shared" si="48"/>
        <v>0</v>
      </c>
      <c r="N9" s="63">
        <f t="shared" si="12"/>
        <v>0</v>
      </c>
      <c r="O9" s="61">
        <v>2.25</v>
      </c>
      <c r="P9" s="62"/>
      <c r="Q9" s="63">
        <f t="shared" si="13"/>
        <v>0</v>
      </c>
      <c r="R9" s="61">
        <v>2.25</v>
      </c>
      <c r="S9" s="62"/>
      <c r="T9" s="63">
        <f t="shared" si="14"/>
        <v>0</v>
      </c>
      <c r="U9" s="61">
        <v>2.25</v>
      </c>
      <c r="V9" s="62"/>
      <c r="W9" s="63">
        <f t="shared" si="15"/>
        <v>0</v>
      </c>
      <c r="X9" s="60">
        <f t="shared" ref="X9:Y9" si="49">O9+R9+U9</f>
        <v>6.75</v>
      </c>
      <c r="Y9" s="60">
        <f t="shared" si="49"/>
        <v>0</v>
      </c>
      <c r="Z9" s="63">
        <f t="shared" si="17"/>
        <v>0</v>
      </c>
      <c r="AA9" s="60">
        <f t="shared" ref="AA9:AB9" si="50">L9+X9</f>
        <v>13.5</v>
      </c>
      <c r="AB9" s="60">
        <f t="shared" si="50"/>
        <v>0</v>
      </c>
      <c r="AC9" s="63">
        <f t="shared" si="19"/>
        <v>0</v>
      </c>
      <c r="AD9" s="61">
        <v>2.25</v>
      </c>
      <c r="AE9" s="62"/>
      <c r="AF9" s="63">
        <f t="shared" si="20"/>
        <v>0</v>
      </c>
      <c r="AG9" s="61">
        <v>2.25</v>
      </c>
      <c r="AH9" s="62"/>
      <c r="AI9" s="63">
        <f t="shared" si="21"/>
        <v>0</v>
      </c>
      <c r="AJ9" s="61">
        <v>2.25</v>
      </c>
      <c r="AK9" s="62"/>
      <c r="AL9" s="63">
        <f t="shared" si="22"/>
        <v>0</v>
      </c>
      <c r="AM9" s="60">
        <f t="shared" ref="AM9:AN9" si="51">AD9+AG9+AJ9</f>
        <v>6.75</v>
      </c>
      <c r="AN9" s="60">
        <f t="shared" si="51"/>
        <v>0</v>
      </c>
      <c r="AO9" s="63">
        <f t="shared" si="24"/>
        <v>0</v>
      </c>
      <c r="AP9" s="61">
        <v>2.25</v>
      </c>
      <c r="AQ9" s="62"/>
      <c r="AR9" s="63">
        <f t="shared" si="25"/>
        <v>0</v>
      </c>
      <c r="AS9" s="61">
        <v>2.25</v>
      </c>
      <c r="AT9" s="62"/>
      <c r="AU9" s="63">
        <f t="shared" si="26"/>
        <v>0</v>
      </c>
      <c r="AV9" s="61">
        <v>2.25</v>
      </c>
      <c r="AW9" s="62"/>
      <c r="AX9" s="63">
        <f t="shared" si="27"/>
        <v>0</v>
      </c>
      <c r="AY9" s="60">
        <f t="shared" ref="AY9:AZ9" si="52">AP9+AS9+AV9</f>
        <v>6.75</v>
      </c>
      <c r="AZ9" s="60">
        <f t="shared" si="52"/>
        <v>0</v>
      </c>
      <c r="BA9" s="63">
        <f t="shared" si="29"/>
        <v>0</v>
      </c>
      <c r="BB9" s="60">
        <f t="shared" ref="BB9:BC9" si="53">AM9+AY9</f>
        <v>13.5</v>
      </c>
      <c r="BC9" s="60">
        <f t="shared" si="53"/>
        <v>0</v>
      </c>
      <c r="BD9" s="63">
        <f t="shared" si="31"/>
        <v>0</v>
      </c>
      <c r="BE9" s="60">
        <f t="shared" ref="BE9:BF9" si="54">BB9+AA9</f>
        <v>27</v>
      </c>
      <c r="BF9" s="60">
        <f t="shared" si="54"/>
        <v>0</v>
      </c>
      <c r="BG9" s="63">
        <f t="shared" si="33"/>
        <v>0</v>
      </c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</row>
    <row r="10">
      <c r="A10" s="53"/>
      <c r="B10" s="59" t="s">
        <v>111</v>
      </c>
      <c r="C10" s="60">
        <f t="shared" ref="C10:D10" si="55">SUM(C5:C9)</f>
        <v>9.3</v>
      </c>
      <c r="D10" s="60">
        <f t="shared" si="55"/>
        <v>0</v>
      </c>
      <c r="E10" s="63">
        <f t="shared" si="8"/>
        <v>0</v>
      </c>
      <c r="F10" s="60">
        <f t="shared" ref="F10:G10" si="56">SUM(F5:F9)</f>
        <v>9.3</v>
      </c>
      <c r="G10" s="60">
        <f t="shared" si="56"/>
        <v>0</v>
      </c>
      <c r="H10" s="63">
        <f t="shared" si="9"/>
        <v>0</v>
      </c>
      <c r="I10" s="60">
        <f t="shared" ref="I10:J10" si="57">SUM(I5:I9)</f>
        <v>9.3</v>
      </c>
      <c r="J10" s="60">
        <f t="shared" si="57"/>
        <v>0</v>
      </c>
      <c r="K10" s="63">
        <f t="shared" si="10"/>
        <v>0</v>
      </c>
      <c r="L10" s="60">
        <f t="shared" ref="L10:M10" si="58">SUM(L5:L9)</f>
        <v>27.9</v>
      </c>
      <c r="M10" s="60">
        <f t="shared" si="58"/>
        <v>0</v>
      </c>
      <c r="N10" s="63">
        <f t="shared" si="12"/>
        <v>0</v>
      </c>
      <c r="O10" s="60">
        <f t="shared" ref="O10:P10" si="59">SUM(O5:O9)</f>
        <v>9.3</v>
      </c>
      <c r="P10" s="60">
        <f t="shared" si="59"/>
        <v>0</v>
      </c>
      <c r="Q10" s="63">
        <f t="shared" si="13"/>
        <v>0</v>
      </c>
      <c r="R10" s="60">
        <f t="shared" ref="R10:S10" si="60">SUM(R5:R9)</f>
        <v>9.3</v>
      </c>
      <c r="S10" s="60">
        <f t="shared" si="60"/>
        <v>0</v>
      </c>
      <c r="T10" s="63">
        <f t="shared" si="14"/>
        <v>0</v>
      </c>
      <c r="U10" s="60">
        <f t="shared" ref="U10:V10" si="61">SUM(U5:U9)</f>
        <v>9.3</v>
      </c>
      <c r="V10" s="60">
        <f t="shared" si="61"/>
        <v>0</v>
      </c>
      <c r="W10" s="63">
        <f t="shared" si="15"/>
        <v>0</v>
      </c>
      <c r="X10" s="60">
        <f t="shared" ref="X10:Y10" si="62">SUM(X5:X9)</f>
        <v>27.9</v>
      </c>
      <c r="Y10" s="60">
        <f t="shared" si="62"/>
        <v>0</v>
      </c>
      <c r="Z10" s="63">
        <f t="shared" si="17"/>
        <v>0</v>
      </c>
      <c r="AA10" s="60">
        <f t="shared" ref="AA10:AB10" si="63">SUM(AA5:AA9)</f>
        <v>55.8</v>
      </c>
      <c r="AB10" s="60">
        <f t="shared" si="63"/>
        <v>0</v>
      </c>
      <c r="AC10" s="63">
        <f t="shared" si="19"/>
        <v>0</v>
      </c>
      <c r="AD10" s="60">
        <f t="shared" ref="AD10:AE10" si="64">SUM(AD5:AD9)</f>
        <v>9.3</v>
      </c>
      <c r="AE10" s="60">
        <f t="shared" si="64"/>
        <v>0</v>
      </c>
      <c r="AF10" s="63">
        <f t="shared" si="20"/>
        <v>0</v>
      </c>
      <c r="AG10" s="60">
        <f t="shared" ref="AG10:AH10" si="65">SUM(AG5:AG9)</f>
        <v>9.3</v>
      </c>
      <c r="AH10" s="60">
        <f t="shared" si="65"/>
        <v>0</v>
      </c>
      <c r="AI10" s="63">
        <f t="shared" si="21"/>
        <v>0</v>
      </c>
      <c r="AJ10" s="60">
        <f t="shared" ref="AJ10:AK10" si="66">SUM(AJ5:AJ9)</f>
        <v>9.3</v>
      </c>
      <c r="AK10" s="60">
        <f t="shared" si="66"/>
        <v>0</v>
      </c>
      <c r="AL10" s="63">
        <f t="shared" si="22"/>
        <v>0</v>
      </c>
      <c r="AM10" s="60">
        <f t="shared" ref="AM10:AN10" si="67">SUM(AM5:AM9)</f>
        <v>27.9</v>
      </c>
      <c r="AN10" s="60">
        <f t="shared" si="67"/>
        <v>0</v>
      </c>
      <c r="AO10" s="63">
        <f t="shared" si="24"/>
        <v>0</v>
      </c>
      <c r="AP10" s="60">
        <f t="shared" ref="AP10:AQ10" si="68">SUM(AP5:AP9)</f>
        <v>9.3</v>
      </c>
      <c r="AQ10" s="60">
        <f t="shared" si="68"/>
        <v>0</v>
      </c>
      <c r="AR10" s="63">
        <f t="shared" si="25"/>
        <v>0</v>
      </c>
      <c r="AS10" s="60">
        <f t="shared" ref="AS10:AT10" si="69">SUM(AS5:AS9)</f>
        <v>9.3</v>
      </c>
      <c r="AT10" s="60">
        <f t="shared" si="69"/>
        <v>0</v>
      </c>
      <c r="AU10" s="63">
        <f t="shared" si="26"/>
        <v>0</v>
      </c>
      <c r="AV10" s="60">
        <f t="shared" ref="AV10:AW10" si="70">SUM(AV5:AV9)</f>
        <v>9.3</v>
      </c>
      <c r="AW10" s="60">
        <f t="shared" si="70"/>
        <v>0</v>
      </c>
      <c r="AX10" s="63">
        <f t="shared" si="27"/>
        <v>0</v>
      </c>
      <c r="AY10" s="60">
        <f t="shared" ref="AY10:AZ10" si="71">SUM(AY5:AY9)</f>
        <v>27.9</v>
      </c>
      <c r="AZ10" s="60">
        <f t="shared" si="71"/>
        <v>0</v>
      </c>
      <c r="BA10" s="63">
        <f t="shared" si="29"/>
        <v>0</v>
      </c>
      <c r="BB10" s="60">
        <f t="shared" ref="BB10:BC10" si="72">SUM(BB5:BB9)</f>
        <v>55.8</v>
      </c>
      <c r="BC10" s="60">
        <f t="shared" si="72"/>
        <v>0</v>
      </c>
      <c r="BD10" s="63">
        <f t="shared" si="31"/>
        <v>0</v>
      </c>
      <c r="BE10" s="60">
        <f t="shared" ref="BE10:BF10" si="73">SUM(BE5:BE9)</f>
        <v>111.6</v>
      </c>
      <c r="BF10" s="60">
        <f t="shared" si="73"/>
        <v>0</v>
      </c>
      <c r="BG10" s="63">
        <f t="shared" si="33"/>
        <v>0</v>
      </c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</row>
    <row r="1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</row>
    <row r="12">
      <c r="A12" s="53"/>
      <c r="B12" s="65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</row>
    <row r="13">
      <c r="A13" s="53"/>
      <c r="B13" s="65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</row>
    <row r="14">
      <c r="A14" s="53"/>
      <c r="B14" s="65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</row>
    <row r="15">
      <c r="A15" s="53"/>
      <c r="B15" s="65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</row>
    <row r="16">
      <c r="A16" s="53"/>
      <c r="B16" s="65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  <c r="BW252" s="53"/>
      <c r="BX252" s="53"/>
      <c r="BY252" s="53"/>
      <c r="BZ252" s="53"/>
      <c r="CA252" s="53"/>
      <c r="CB252" s="53"/>
      <c r="CC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  <c r="BW256" s="53"/>
      <c r="BX256" s="53"/>
      <c r="BY256" s="53"/>
      <c r="BZ256" s="53"/>
      <c r="CA256" s="53"/>
      <c r="CB256" s="53"/>
      <c r="CC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  <c r="BW260" s="53"/>
      <c r="BX260" s="53"/>
      <c r="BY260" s="53"/>
      <c r="BZ260" s="53"/>
      <c r="CA260" s="53"/>
      <c r="CB260" s="53"/>
      <c r="CC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53"/>
      <c r="BW278" s="53"/>
      <c r="BX278" s="53"/>
      <c r="BY278" s="53"/>
      <c r="BZ278" s="53"/>
      <c r="CA278" s="53"/>
      <c r="CB278" s="53"/>
      <c r="CC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53"/>
      <c r="BW282" s="53"/>
      <c r="BX282" s="53"/>
      <c r="BY282" s="53"/>
      <c r="BZ282" s="53"/>
      <c r="CA282" s="53"/>
      <c r="CB282" s="53"/>
      <c r="CC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53"/>
      <c r="BW288" s="53"/>
      <c r="BX288" s="53"/>
      <c r="BY288" s="53"/>
      <c r="BZ288" s="53"/>
      <c r="CA288" s="53"/>
      <c r="CB288" s="53"/>
      <c r="CC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53"/>
      <c r="BW294" s="53"/>
      <c r="BX294" s="53"/>
      <c r="BY294" s="53"/>
      <c r="BZ294" s="53"/>
      <c r="CA294" s="53"/>
      <c r="CB294" s="53"/>
      <c r="CC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53"/>
      <c r="BW296" s="53"/>
      <c r="BX296" s="53"/>
      <c r="BY296" s="53"/>
      <c r="BZ296" s="53"/>
      <c r="CA296" s="53"/>
      <c r="CB296" s="53"/>
      <c r="CC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53"/>
      <c r="BW298" s="53"/>
      <c r="BX298" s="53"/>
      <c r="BY298" s="53"/>
      <c r="BZ298" s="53"/>
      <c r="CA298" s="53"/>
      <c r="CB298" s="53"/>
      <c r="CC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  <c r="BV302" s="53"/>
      <c r="BW302" s="53"/>
      <c r="BX302" s="53"/>
      <c r="BY302" s="53"/>
      <c r="BZ302" s="53"/>
      <c r="CA302" s="53"/>
      <c r="CB302" s="53"/>
      <c r="CC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  <c r="BV320" s="53"/>
      <c r="BW320" s="53"/>
      <c r="BX320" s="53"/>
      <c r="BY320" s="53"/>
      <c r="BZ320" s="53"/>
      <c r="CA320" s="53"/>
      <c r="CB320" s="53"/>
      <c r="CC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  <c r="BV334" s="53"/>
      <c r="BW334" s="53"/>
      <c r="BX334" s="53"/>
      <c r="BY334" s="53"/>
      <c r="BZ334" s="53"/>
      <c r="CA334" s="53"/>
      <c r="CB334" s="53"/>
      <c r="CC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  <c r="BV336" s="53"/>
      <c r="BW336" s="53"/>
      <c r="BX336" s="53"/>
      <c r="BY336" s="53"/>
      <c r="BZ336" s="53"/>
      <c r="CA336" s="53"/>
      <c r="CB336" s="53"/>
      <c r="CC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  <c r="BV340" s="53"/>
      <c r="BW340" s="53"/>
      <c r="BX340" s="53"/>
      <c r="BY340" s="53"/>
      <c r="BZ340" s="53"/>
      <c r="CA340" s="53"/>
      <c r="CB340" s="53"/>
      <c r="CC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  <c r="BV344" s="53"/>
      <c r="BW344" s="53"/>
      <c r="BX344" s="53"/>
      <c r="BY344" s="53"/>
      <c r="BZ344" s="53"/>
      <c r="CA344" s="53"/>
      <c r="CB344" s="53"/>
      <c r="CC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  <c r="BV348" s="53"/>
      <c r="BW348" s="53"/>
      <c r="BX348" s="53"/>
      <c r="BY348" s="53"/>
      <c r="BZ348" s="53"/>
      <c r="CA348" s="53"/>
      <c r="CB348" s="53"/>
      <c r="CC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  <c r="BV711" s="53"/>
      <c r="BW711" s="53"/>
      <c r="BX711" s="53"/>
      <c r="BY711" s="53"/>
      <c r="BZ711" s="53"/>
      <c r="CA711" s="53"/>
      <c r="CB711" s="53"/>
      <c r="CC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  <c r="BV712" s="53"/>
      <c r="BW712" s="53"/>
      <c r="BX712" s="53"/>
      <c r="BY712" s="53"/>
      <c r="BZ712" s="53"/>
      <c r="CA712" s="53"/>
      <c r="CB712" s="53"/>
      <c r="CC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  <c r="BV713" s="53"/>
      <c r="BW713" s="53"/>
      <c r="BX713" s="53"/>
      <c r="BY713" s="53"/>
      <c r="BZ713" s="53"/>
      <c r="CA713" s="53"/>
      <c r="CB713" s="53"/>
      <c r="CC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  <c r="BV714" s="53"/>
      <c r="BW714" s="53"/>
      <c r="BX714" s="53"/>
      <c r="BY714" s="53"/>
      <c r="BZ714" s="53"/>
      <c r="CA714" s="53"/>
      <c r="CB714" s="53"/>
      <c r="CC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  <c r="BV716" s="53"/>
      <c r="BW716" s="53"/>
      <c r="BX716" s="53"/>
      <c r="BY716" s="53"/>
      <c r="BZ716" s="53"/>
      <c r="CA716" s="53"/>
      <c r="CB716" s="53"/>
      <c r="CC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  <c r="BV717" s="53"/>
      <c r="BW717" s="53"/>
      <c r="BX717" s="53"/>
      <c r="BY717" s="53"/>
      <c r="BZ717" s="53"/>
      <c r="CA717" s="53"/>
      <c r="CB717" s="53"/>
      <c r="CC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  <c r="BV881" s="53"/>
      <c r="BW881" s="53"/>
      <c r="BX881" s="53"/>
      <c r="BY881" s="53"/>
      <c r="BZ881" s="53"/>
      <c r="CA881" s="53"/>
      <c r="CB881" s="53"/>
      <c r="CC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  <c r="BV882" s="53"/>
      <c r="BW882" s="53"/>
      <c r="BX882" s="53"/>
      <c r="BY882" s="53"/>
      <c r="BZ882" s="53"/>
      <c r="CA882" s="53"/>
      <c r="CB882" s="53"/>
      <c r="CC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  <c r="BV883" s="53"/>
      <c r="BW883" s="53"/>
      <c r="BX883" s="53"/>
      <c r="BY883" s="53"/>
      <c r="BZ883" s="53"/>
      <c r="CA883" s="53"/>
      <c r="CB883" s="53"/>
      <c r="CC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  <c r="BV884" s="53"/>
      <c r="BW884" s="53"/>
      <c r="BX884" s="53"/>
      <c r="BY884" s="53"/>
      <c r="BZ884" s="53"/>
      <c r="CA884" s="53"/>
      <c r="CB884" s="53"/>
      <c r="CC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  <c r="BV885" s="53"/>
      <c r="BW885" s="53"/>
      <c r="BX885" s="53"/>
      <c r="BY885" s="53"/>
      <c r="BZ885" s="53"/>
      <c r="CA885" s="53"/>
      <c r="CB885" s="53"/>
      <c r="CC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  <c r="BV886" s="53"/>
      <c r="BW886" s="53"/>
      <c r="BX886" s="53"/>
      <c r="BY886" s="53"/>
      <c r="BZ886" s="53"/>
      <c r="CA886" s="53"/>
      <c r="CB886" s="53"/>
      <c r="CC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  <c r="BV887" s="53"/>
      <c r="BW887" s="53"/>
      <c r="BX887" s="53"/>
      <c r="BY887" s="53"/>
      <c r="BZ887" s="53"/>
      <c r="CA887" s="53"/>
      <c r="CB887" s="53"/>
      <c r="CC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  <c r="BV888" s="53"/>
      <c r="BW888" s="53"/>
      <c r="BX888" s="53"/>
      <c r="BY888" s="53"/>
      <c r="BZ888" s="53"/>
      <c r="CA888" s="53"/>
      <c r="CB888" s="53"/>
      <c r="CC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  <c r="BV889" s="53"/>
      <c r="BW889" s="53"/>
      <c r="BX889" s="53"/>
      <c r="BY889" s="53"/>
      <c r="BZ889" s="53"/>
      <c r="CA889" s="53"/>
      <c r="CB889" s="53"/>
      <c r="CC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  <c r="BV890" s="53"/>
      <c r="BW890" s="53"/>
      <c r="BX890" s="53"/>
      <c r="BY890" s="53"/>
      <c r="BZ890" s="53"/>
      <c r="CA890" s="53"/>
      <c r="CB890" s="53"/>
      <c r="CC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  <c r="BV891" s="53"/>
      <c r="BW891" s="53"/>
      <c r="BX891" s="53"/>
      <c r="BY891" s="53"/>
      <c r="BZ891" s="53"/>
      <c r="CA891" s="53"/>
      <c r="CB891" s="53"/>
      <c r="CC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  <c r="BV892" s="53"/>
      <c r="BW892" s="53"/>
      <c r="BX892" s="53"/>
      <c r="BY892" s="53"/>
      <c r="BZ892" s="53"/>
      <c r="CA892" s="53"/>
      <c r="CB892" s="53"/>
      <c r="CC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  <c r="BV894" s="53"/>
      <c r="BW894" s="53"/>
      <c r="BX894" s="53"/>
      <c r="BY894" s="53"/>
      <c r="BZ894" s="53"/>
      <c r="CA894" s="53"/>
      <c r="CB894" s="53"/>
      <c r="CC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  <c r="BV895" s="53"/>
      <c r="BW895" s="53"/>
      <c r="BX895" s="53"/>
      <c r="BY895" s="53"/>
      <c r="BZ895" s="53"/>
      <c r="CA895" s="53"/>
      <c r="CB895" s="53"/>
      <c r="CC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  <c r="BV896" s="53"/>
      <c r="BW896" s="53"/>
      <c r="BX896" s="53"/>
      <c r="BY896" s="53"/>
      <c r="BZ896" s="53"/>
      <c r="CA896" s="53"/>
      <c r="CB896" s="53"/>
      <c r="CC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  <c r="BV897" s="53"/>
      <c r="BW897" s="53"/>
      <c r="BX897" s="53"/>
      <c r="BY897" s="53"/>
      <c r="BZ897" s="53"/>
      <c r="CA897" s="53"/>
      <c r="CB897" s="53"/>
      <c r="CC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  <c r="BV898" s="53"/>
      <c r="BW898" s="53"/>
      <c r="BX898" s="53"/>
      <c r="BY898" s="53"/>
      <c r="BZ898" s="53"/>
      <c r="CA898" s="53"/>
      <c r="CB898" s="53"/>
      <c r="CC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  <c r="BV899" s="53"/>
      <c r="BW899" s="53"/>
      <c r="BX899" s="53"/>
      <c r="BY899" s="53"/>
      <c r="BZ899" s="53"/>
      <c r="CA899" s="53"/>
      <c r="CB899" s="53"/>
      <c r="CC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  <c r="BV900" s="53"/>
      <c r="BW900" s="53"/>
      <c r="BX900" s="53"/>
      <c r="BY900" s="53"/>
      <c r="BZ900" s="53"/>
      <c r="CA900" s="53"/>
      <c r="CB900" s="53"/>
      <c r="CC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  <c r="BV901" s="53"/>
      <c r="BW901" s="53"/>
      <c r="BX901" s="53"/>
      <c r="BY901" s="53"/>
      <c r="BZ901" s="53"/>
      <c r="CA901" s="53"/>
      <c r="CB901" s="53"/>
      <c r="CC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  <c r="BV902" s="53"/>
      <c r="BW902" s="53"/>
      <c r="BX902" s="53"/>
      <c r="BY902" s="53"/>
      <c r="BZ902" s="53"/>
      <c r="CA902" s="53"/>
      <c r="CB902" s="53"/>
      <c r="CC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  <c r="BV903" s="53"/>
      <c r="BW903" s="53"/>
      <c r="BX903" s="53"/>
      <c r="BY903" s="53"/>
      <c r="BZ903" s="53"/>
      <c r="CA903" s="53"/>
      <c r="CB903" s="53"/>
      <c r="CC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  <c r="BV904" s="53"/>
      <c r="BW904" s="53"/>
      <c r="BX904" s="53"/>
      <c r="BY904" s="53"/>
      <c r="BZ904" s="53"/>
      <c r="CA904" s="53"/>
      <c r="CB904" s="53"/>
      <c r="CC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  <c r="BV905" s="53"/>
      <c r="BW905" s="53"/>
      <c r="BX905" s="53"/>
      <c r="BY905" s="53"/>
      <c r="BZ905" s="53"/>
      <c r="CA905" s="53"/>
      <c r="CB905" s="53"/>
      <c r="CC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  <c r="BV906" s="53"/>
      <c r="BW906" s="53"/>
      <c r="BX906" s="53"/>
      <c r="BY906" s="53"/>
      <c r="BZ906" s="53"/>
      <c r="CA906" s="53"/>
      <c r="CB906" s="53"/>
      <c r="CC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  <c r="BV907" s="53"/>
      <c r="BW907" s="53"/>
      <c r="BX907" s="53"/>
      <c r="BY907" s="53"/>
      <c r="BZ907" s="53"/>
      <c r="CA907" s="53"/>
      <c r="CB907" s="53"/>
      <c r="CC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  <c r="BV908" s="53"/>
      <c r="BW908" s="53"/>
      <c r="BX908" s="53"/>
      <c r="BY908" s="53"/>
      <c r="BZ908" s="53"/>
      <c r="CA908" s="53"/>
      <c r="CB908" s="53"/>
      <c r="CC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  <c r="BV909" s="53"/>
      <c r="BW909" s="53"/>
      <c r="BX909" s="53"/>
      <c r="BY909" s="53"/>
      <c r="BZ909" s="53"/>
      <c r="CA909" s="53"/>
      <c r="CB909" s="53"/>
      <c r="CC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  <c r="BV910" s="53"/>
      <c r="BW910" s="53"/>
      <c r="BX910" s="53"/>
      <c r="BY910" s="53"/>
      <c r="BZ910" s="53"/>
      <c r="CA910" s="53"/>
      <c r="CB910" s="53"/>
      <c r="CC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  <c r="BV911" s="53"/>
      <c r="BW911" s="53"/>
      <c r="BX911" s="53"/>
      <c r="BY911" s="53"/>
      <c r="BZ911" s="53"/>
      <c r="CA911" s="53"/>
      <c r="CB911" s="53"/>
      <c r="CC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  <c r="BV912" s="53"/>
      <c r="BW912" s="53"/>
      <c r="BX912" s="53"/>
      <c r="BY912" s="53"/>
      <c r="BZ912" s="53"/>
      <c r="CA912" s="53"/>
      <c r="CB912" s="53"/>
      <c r="CC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  <c r="BV913" s="53"/>
      <c r="BW913" s="53"/>
      <c r="BX913" s="53"/>
      <c r="BY913" s="53"/>
      <c r="BZ913" s="53"/>
      <c r="CA913" s="53"/>
      <c r="CB913" s="53"/>
      <c r="CC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  <c r="BV914" s="53"/>
      <c r="BW914" s="53"/>
      <c r="BX914" s="53"/>
      <c r="BY914" s="53"/>
      <c r="BZ914" s="53"/>
      <c r="CA914" s="53"/>
      <c r="CB914" s="53"/>
      <c r="CC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  <c r="BV915" s="53"/>
      <c r="BW915" s="53"/>
      <c r="BX915" s="53"/>
      <c r="BY915" s="53"/>
      <c r="BZ915" s="53"/>
      <c r="CA915" s="53"/>
      <c r="CB915" s="53"/>
      <c r="CC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  <c r="BV916" s="53"/>
      <c r="BW916" s="53"/>
      <c r="BX916" s="53"/>
      <c r="BY916" s="53"/>
      <c r="BZ916" s="53"/>
      <c r="CA916" s="53"/>
      <c r="CB916" s="53"/>
      <c r="CC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  <c r="BV917" s="53"/>
      <c r="BW917" s="53"/>
      <c r="BX917" s="53"/>
      <c r="BY917" s="53"/>
      <c r="BZ917" s="53"/>
      <c r="CA917" s="53"/>
      <c r="CB917" s="53"/>
      <c r="CC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  <c r="BV918" s="53"/>
      <c r="BW918" s="53"/>
      <c r="BX918" s="53"/>
      <c r="BY918" s="53"/>
      <c r="BZ918" s="53"/>
      <c r="CA918" s="53"/>
      <c r="CB918" s="53"/>
      <c r="CC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  <c r="BV919" s="53"/>
      <c r="BW919" s="53"/>
      <c r="BX919" s="53"/>
      <c r="BY919" s="53"/>
      <c r="BZ919" s="53"/>
      <c r="CA919" s="53"/>
      <c r="CB919" s="53"/>
      <c r="CC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  <c r="BV920" s="53"/>
      <c r="BW920" s="53"/>
      <c r="BX920" s="53"/>
      <c r="BY920" s="53"/>
      <c r="BZ920" s="53"/>
      <c r="CA920" s="53"/>
      <c r="CB920" s="53"/>
      <c r="CC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  <c r="BV921" s="53"/>
      <c r="BW921" s="53"/>
      <c r="BX921" s="53"/>
      <c r="BY921" s="53"/>
      <c r="BZ921" s="53"/>
      <c r="CA921" s="53"/>
      <c r="CB921" s="53"/>
      <c r="CC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  <c r="BV922" s="53"/>
      <c r="BW922" s="53"/>
      <c r="BX922" s="53"/>
      <c r="BY922" s="53"/>
      <c r="BZ922" s="53"/>
      <c r="CA922" s="53"/>
      <c r="CB922" s="53"/>
      <c r="CC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  <c r="BV923" s="53"/>
      <c r="BW923" s="53"/>
      <c r="BX923" s="53"/>
      <c r="BY923" s="53"/>
      <c r="BZ923" s="53"/>
      <c r="CA923" s="53"/>
      <c r="CB923" s="53"/>
      <c r="CC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  <c r="BV924" s="53"/>
      <c r="BW924" s="53"/>
      <c r="BX924" s="53"/>
      <c r="BY924" s="53"/>
      <c r="BZ924" s="53"/>
      <c r="CA924" s="53"/>
      <c r="CB924" s="53"/>
      <c r="CC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  <c r="BV925" s="53"/>
      <c r="BW925" s="53"/>
      <c r="BX925" s="53"/>
      <c r="BY925" s="53"/>
      <c r="BZ925" s="53"/>
      <c r="CA925" s="53"/>
      <c r="CB925" s="53"/>
      <c r="CC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  <c r="BV926" s="53"/>
      <c r="BW926" s="53"/>
      <c r="BX926" s="53"/>
      <c r="BY926" s="53"/>
      <c r="BZ926" s="53"/>
      <c r="CA926" s="53"/>
      <c r="CB926" s="53"/>
      <c r="CC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  <c r="BV927" s="53"/>
      <c r="BW927" s="53"/>
      <c r="BX927" s="53"/>
      <c r="BY927" s="53"/>
      <c r="BZ927" s="53"/>
      <c r="CA927" s="53"/>
      <c r="CB927" s="53"/>
      <c r="CC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  <c r="BV928" s="53"/>
      <c r="BW928" s="53"/>
      <c r="BX928" s="53"/>
      <c r="BY928" s="53"/>
      <c r="BZ928" s="53"/>
      <c r="CA928" s="53"/>
      <c r="CB928" s="53"/>
      <c r="CC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  <c r="BV929" s="53"/>
      <c r="BW929" s="53"/>
      <c r="BX929" s="53"/>
      <c r="BY929" s="53"/>
      <c r="BZ929" s="53"/>
      <c r="CA929" s="53"/>
      <c r="CB929" s="53"/>
      <c r="CC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  <c r="BV930" s="53"/>
      <c r="BW930" s="53"/>
      <c r="BX930" s="53"/>
      <c r="BY930" s="53"/>
      <c r="BZ930" s="53"/>
      <c r="CA930" s="53"/>
      <c r="CB930" s="53"/>
      <c r="CC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  <c r="BV931" s="53"/>
      <c r="BW931" s="53"/>
      <c r="BX931" s="53"/>
      <c r="BY931" s="53"/>
      <c r="BZ931" s="53"/>
      <c r="CA931" s="53"/>
      <c r="CB931" s="53"/>
      <c r="CC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  <c r="BV932" s="53"/>
      <c r="BW932" s="53"/>
      <c r="BX932" s="53"/>
      <c r="BY932" s="53"/>
      <c r="BZ932" s="53"/>
      <c r="CA932" s="53"/>
      <c r="CB932" s="53"/>
      <c r="CC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  <c r="BV933" s="53"/>
      <c r="BW933" s="53"/>
      <c r="BX933" s="53"/>
      <c r="BY933" s="53"/>
      <c r="BZ933" s="53"/>
      <c r="CA933" s="53"/>
      <c r="CB933" s="53"/>
      <c r="CC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  <c r="BV934" s="53"/>
      <c r="BW934" s="53"/>
      <c r="BX934" s="53"/>
      <c r="BY934" s="53"/>
      <c r="BZ934" s="53"/>
      <c r="CA934" s="53"/>
      <c r="CB934" s="53"/>
      <c r="CC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  <c r="BV935" s="53"/>
      <c r="BW935" s="53"/>
      <c r="BX935" s="53"/>
      <c r="BY935" s="53"/>
      <c r="BZ935" s="53"/>
      <c r="CA935" s="53"/>
      <c r="CB935" s="53"/>
      <c r="CC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  <c r="BV936" s="53"/>
      <c r="BW936" s="53"/>
      <c r="BX936" s="53"/>
      <c r="BY936" s="53"/>
      <c r="BZ936" s="53"/>
      <c r="CA936" s="53"/>
      <c r="CB936" s="53"/>
      <c r="CC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  <c r="BV937" s="53"/>
      <c r="BW937" s="53"/>
      <c r="BX937" s="53"/>
      <c r="BY937" s="53"/>
      <c r="BZ937" s="53"/>
      <c r="CA937" s="53"/>
      <c r="CB937" s="53"/>
      <c r="CC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  <c r="BV938" s="53"/>
      <c r="BW938" s="53"/>
      <c r="BX938" s="53"/>
      <c r="BY938" s="53"/>
      <c r="BZ938" s="53"/>
      <c r="CA938" s="53"/>
      <c r="CB938" s="53"/>
      <c r="CC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  <c r="BV939" s="53"/>
      <c r="BW939" s="53"/>
      <c r="BX939" s="53"/>
      <c r="BY939" s="53"/>
      <c r="BZ939" s="53"/>
      <c r="CA939" s="53"/>
      <c r="CB939" s="53"/>
      <c r="CC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  <c r="BV940" s="53"/>
      <c r="BW940" s="53"/>
      <c r="BX940" s="53"/>
      <c r="BY940" s="53"/>
      <c r="BZ940" s="53"/>
      <c r="CA940" s="53"/>
      <c r="CB940" s="53"/>
      <c r="CC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  <c r="BV941" s="53"/>
      <c r="BW941" s="53"/>
      <c r="BX941" s="53"/>
      <c r="BY941" s="53"/>
      <c r="BZ941" s="53"/>
      <c r="CA941" s="53"/>
      <c r="CB941" s="53"/>
      <c r="CC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  <c r="BV942" s="53"/>
      <c r="BW942" s="53"/>
      <c r="BX942" s="53"/>
      <c r="BY942" s="53"/>
      <c r="BZ942" s="53"/>
      <c r="CA942" s="53"/>
      <c r="CB942" s="53"/>
      <c r="CC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  <c r="BV943" s="53"/>
      <c r="BW943" s="53"/>
      <c r="BX943" s="53"/>
      <c r="BY943" s="53"/>
      <c r="BZ943" s="53"/>
      <c r="CA943" s="53"/>
      <c r="CB943" s="53"/>
      <c r="CC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  <c r="BS944" s="53"/>
      <c r="BT944" s="53"/>
      <c r="BU944" s="53"/>
      <c r="BV944" s="53"/>
      <c r="BW944" s="53"/>
      <c r="BX944" s="53"/>
      <c r="BY944" s="53"/>
      <c r="BZ944" s="53"/>
      <c r="CA944" s="53"/>
      <c r="CB944" s="53"/>
      <c r="CC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  <c r="BS945" s="53"/>
      <c r="BT945" s="53"/>
      <c r="BU945" s="53"/>
      <c r="BV945" s="53"/>
      <c r="BW945" s="53"/>
      <c r="BX945" s="53"/>
      <c r="BY945" s="53"/>
      <c r="BZ945" s="53"/>
      <c r="CA945" s="53"/>
      <c r="CB945" s="53"/>
      <c r="CC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  <c r="BS946" s="53"/>
      <c r="BT946" s="53"/>
      <c r="BU946" s="53"/>
      <c r="BV946" s="53"/>
      <c r="BW946" s="53"/>
      <c r="BX946" s="53"/>
      <c r="BY946" s="53"/>
      <c r="BZ946" s="53"/>
      <c r="CA946" s="53"/>
      <c r="CB946" s="53"/>
      <c r="CC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  <c r="BS947" s="53"/>
      <c r="BT947" s="53"/>
      <c r="BU947" s="53"/>
      <c r="BV947" s="53"/>
      <c r="BW947" s="53"/>
      <c r="BX947" s="53"/>
      <c r="BY947" s="53"/>
      <c r="BZ947" s="53"/>
      <c r="CA947" s="53"/>
      <c r="CB947" s="53"/>
      <c r="CC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  <c r="BS948" s="53"/>
      <c r="BT948" s="53"/>
      <c r="BU948" s="53"/>
      <c r="BV948" s="53"/>
      <c r="BW948" s="53"/>
      <c r="BX948" s="53"/>
      <c r="BY948" s="53"/>
      <c r="BZ948" s="53"/>
      <c r="CA948" s="53"/>
      <c r="CB948" s="53"/>
      <c r="CC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  <c r="BS949" s="53"/>
      <c r="BT949" s="53"/>
      <c r="BU949" s="53"/>
      <c r="BV949" s="53"/>
      <c r="BW949" s="53"/>
      <c r="BX949" s="53"/>
      <c r="BY949" s="53"/>
      <c r="BZ949" s="53"/>
      <c r="CA949" s="53"/>
      <c r="CB949" s="53"/>
      <c r="CC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  <c r="BS950" s="53"/>
      <c r="BT950" s="53"/>
      <c r="BU950" s="53"/>
      <c r="BV950" s="53"/>
      <c r="BW950" s="53"/>
      <c r="BX950" s="53"/>
      <c r="BY950" s="53"/>
      <c r="BZ950" s="53"/>
      <c r="CA950" s="53"/>
      <c r="CB950" s="53"/>
      <c r="CC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  <c r="BS951" s="53"/>
      <c r="BT951" s="53"/>
      <c r="BU951" s="53"/>
      <c r="BV951" s="53"/>
      <c r="BW951" s="53"/>
      <c r="BX951" s="53"/>
      <c r="BY951" s="53"/>
      <c r="BZ951" s="53"/>
      <c r="CA951" s="53"/>
      <c r="CB951" s="53"/>
      <c r="CC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  <c r="BS952" s="53"/>
      <c r="BT952" s="53"/>
      <c r="BU952" s="53"/>
      <c r="BV952" s="53"/>
      <c r="BW952" s="53"/>
      <c r="BX952" s="53"/>
      <c r="BY952" s="53"/>
      <c r="BZ952" s="53"/>
      <c r="CA952" s="53"/>
      <c r="CB952" s="53"/>
      <c r="CC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  <c r="BS953" s="53"/>
      <c r="BT953" s="53"/>
      <c r="BU953" s="53"/>
      <c r="BV953" s="53"/>
      <c r="BW953" s="53"/>
      <c r="BX953" s="53"/>
      <c r="BY953" s="53"/>
      <c r="BZ953" s="53"/>
      <c r="CA953" s="53"/>
      <c r="CB953" s="53"/>
      <c r="CC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  <c r="BS954" s="53"/>
      <c r="BT954" s="53"/>
      <c r="BU954" s="53"/>
      <c r="BV954" s="53"/>
      <c r="BW954" s="53"/>
      <c r="BX954" s="53"/>
      <c r="BY954" s="53"/>
      <c r="BZ954" s="53"/>
      <c r="CA954" s="53"/>
      <c r="CB954" s="53"/>
      <c r="CC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  <c r="BS955" s="53"/>
      <c r="BT955" s="53"/>
      <c r="BU955" s="53"/>
      <c r="BV955" s="53"/>
      <c r="BW955" s="53"/>
      <c r="BX955" s="53"/>
      <c r="BY955" s="53"/>
      <c r="BZ955" s="53"/>
      <c r="CA955" s="53"/>
      <c r="CB955" s="53"/>
      <c r="CC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  <c r="BS956" s="53"/>
      <c r="BT956" s="53"/>
      <c r="BU956" s="53"/>
      <c r="BV956" s="53"/>
      <c r="BW956" s="53"/>
      <c r="BX956" s="53"/>
      <c r="BY956" s="53"/>
      <c r="BZ956" s="53"/>
      <c r="CA956" s="53"/>
      <c r="CB956" s="53"/>
      <c r="CC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  <c r="BS957" s="53"/>
      <c r="BT957" s="53"/>
      <c r="BU957" s="53"/>
      <c r="BV957" s="53"/>
      <c r="BW957" s="53"/>
      <c r="BX957" s="53"/>
      <c r="BY957" s="53"/>
      <c r="BZ957" s="53"/>
      <c r="CA957" s="53"/>
      <c r="CB957" s="53"/>
      <c r="CC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  <c r="BS958" s="53"/>
      <c r="BT958" s="53"/>
      <c r="BU958" s="53"/>
      <c r="BV958" s="53"/>
      <c r="BW958" s="53"/>
      <c r="BX958" s="53"/>
      <c r="BY958" s="53"/>
      <c r="BZ958" s="53"/>
      <c r="CA958" s="53"/>
      <c r="CB958" s="53"/>
      <c r="CC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  <c r="BS959" s="53"/>
      <c r="BT959" s="53"/>
      <c r="BU959" s="53"/>
      <c r="BV959" s="53"/>
      <c r="BW959" s="53"/>
      <c r="BX959" s="53"/>
      <c r="BY959" s="53"/>
      <c r="BZ959" s="53"/>
      <c r="CA959" s="53"/>
      <c r="CB959" s="53"/>
      <c r="CC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  <c r="BS960" s="53"/>
      <c r="BT960" s="53"/>
      <c r="BU960" s="53"/>
      <c r="BV960" s="53"/>
      <c r="BW960" s="53"/>
      <c r="BX960" s="53"/>
      <c r="BY960" s="53"/>
      <c r="BZ960" s="53"/>
      <c r="CA960" s="53"/>
      <c r="CB960" s="53"/>
      <c r="CC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  <c r="BS961" s="53"/>
      <c r="BT961" s="53"/>
      <c r="BU961" s="53"/>
      <c r="BV961" s="53"/>
      <c r="BW961" s="53"/>
      <c r="BX961" s="53"/>
      <c r="BY961" s="53"/>
      <c r="BZ961" s="53"/>
      <c r="CA961" s="53"/>
      <c r="CB961" s="53"/>
      <c r="CC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  <c r="BS962" s="53"/>
      <c r="BT962" s="53"/>
      <c r="BU962" s="53"/>
      <c r="BV962" s="53"/>
      <c r="BW962" s="53"/>
      <c r="BX962" s="53"/>
      <c r="BY962" s="53"/>
      <c r="BZ962" s="53"/>
      <c r="CA962" s="53"/>
      <c r="CB962" s="53"/>
      <c r="CC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  <c r="BS963" s="53"/>
      <c r="BT963" s="53"/>
      <c r="BU963" s="53"/>
      <c r="BV963" s="53"/>
      <c r="BW963" s="53"/>
      <c r="BX963" s="53"/>
      <c r="BY963" s="53"/>
      <c r="BZ963" s="53"/>
      <c r="CA963" s="53"/>
      <c r="CB963" s="53"/>
      <c r="CC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  <c r="BS964" s="53"/>
      <c r="BT964" s="53"/>
      <c r="BU964" s="53"/>
      <c r="BV964" s="53"/>
      <c r="BW964" s="53"/>
      <c r="BX964" s="53"/>
      <c r="BY964" s="53"/>
      <c r="BZ964" s="53"/>
      <c r="CA964" s="53"/>
      <c r="CB964" s="53"/>
      <c r="CC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  <c r="BS965" s="53"/>
      <c r="BT965" s="53"/>
      <c r="BU965" s="53"/>
      <c r="BV965" s="53"/>
      <c r="BW965" s="53"/>
      <c r="BX965" s="53"/>
      <c r="BY965" s="53"/>
      <c r="BZ965" s="53"/>
      <c r="CA965" s="53"/>
      <c r="CB965" s="53"/>
      <c r="CC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  <c r="BS966" s="53"/>
      <c r="BT966" s="53"/>
      <c r="BU966" s="53"/>
      <c r="BV966" s="53"/>
      <c r="BW966" s="53"/>
      <c r="BX966" s="53"/>
      <c r="BY966" s="53"/>
      <c r="BZ966" s="53"/>
      <c r="CA966" s="53"/>
      <c r="CB966" s="53"/>
      <c r="CC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  <c r="BS967" s="53"/>
      <c r="BT967" s="53"/>
      <c r="BU967" s="53"/>
      <c r="BV967" s="53"/>
      <c r="BW967" s="53"/>
      <c r="BX967" s="53"/>
      <c r="BY967" s="53"/>
      <c r="BZ967" s="53"/>
      <c r="CA967" s="53"/>
      <c r="CB967" s="53"/>
      <c r="CC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  <c r="BS968" s="53"/>
      <c r="BT968" s="53"/>
      <c r="BU968" s="53"/>
      <c r="BV968" s="53"/>
      <c r="BW968" s="53"/>
      <c r="BX968" s="53"/>
      <c r="BY968" s="53"/>
      <c r="BZ968" s="53"/>
      <c r="CA968" s="53"/>
      <c r="CB968" s="53"/>
      <c r="CC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  <c r="BS969" s="53"/>
      <c r="BT969" s="53"/>
      <c r="BU969" s="53"/>
      <c r="BV969" s="53"/>
      <c r="BW969" s="53"/>
      <c r="BX969" s="53"/>
      <c r="BY969" s="53"/>
      <c r="BZ969" s="53"/>
      <c r="CA969" s="53"/>
      <c r="CB969" s="53"/>
      <c r="CC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  <c r="BS970" s="53"/>
      <c r="BT970" s="53"/>
      <c r="BU970" s="53"/>
      <c r="BV970" s="53"/>
      <c r="BW970" s="53"/>
      <c r="BX970" s="53"/>
      <c r="BY970" s="53"/>
      <c r="BZ970" s="53"/>
      <c r="CA970" s="53"/>
      <c r="CB970" s="53"/>
      <c r="CC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  <c r="BS971" s="53"/>
      <c r="BT971" s="53"/>
      <c r="BU971" s="53"/>
      <c r="BV971" s="53"/>
      <c r="BW971" s="53"/>
      <c r="BX971" s="53"/>
      <c r="BY971" s="53"/>
      <c r="BZ971" s="53"/>
      <c r="CA971" s="53"/>
      <c r="CB971" s="53"/>
      <c r="CC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  <c r="BS972" s="53"/>
      <c r="BT972" s="53"/>
      <c r="BU972" s="53"/>
      <c r="BV972" s="53"/>
      <c r="BW972" s="53"/>
      <c r="BX972" s="53"/>
      <c r="BY972" s="53"/>
      <c r="BZ972" s="53"/>
      <c r="CA972" s="53"/>
      <c r="CB972" s="53"/>
      <c r="CC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  <c r="BS973" s="53"/>
      <c r="BT973" s="53"/>
      <c r="BU973" s="53"/>
      <c r="BV973" s="53"/>
      <c r="BW973" s="53"/>
      <c r="BX973" s="53"/>
      <c r="BY973" s="53"/>
      <c r="BZ973" s="53"/>
      <c r="CA973" s="53"/>
      <c r="CB973" s="53"/>
      <c r="CC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  <c r="BS974" s="53"/>
      <c r="BT974" s="53"/>
      <c r="BU974" s="53"/>
      <c r="BV974" s="53"/>
      <c r="BW974" s="53"/>
      <c r="BX974" s="53"/>
      <c r="BY974" s="53"/>
      <c r="BZ974" s="53"/>
      <c r="CA974" s="53"/>
      <c r="CB974" s="53"/>
      <c r="CC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  <c r="BS975" s="53"/>
      <c r="BT975" s="53"/>
      <c r="BU975" s="53"/>
      <c r="BV975" s="53"/>
      <c r="BW975" s="53"/>
      <c r="BX975" s="53"/>
      <c r="BY975" s="53"/>
      <c r="BZ975" s="53"/>
      <c r="CA975" s="53"/>
      <c r="CB975" s="53"/>
      <c r="CC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  <c r="BS976" s="53"/>
      <c r="BT976" s="53"/>
      <c r="BU976" s="53"/>
      <c r="BV976" s="53"/>
      <c r="BW976" s="53"/>
      <c r="BX976" s="53"/>
      <c r="BY976" s="53"/>
      <c r="BZ976" s="53"/>
      <c r="CA976" s="53"/>
      <c r="CB976" s="53"/>
      <c r="CC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  <c r="BS977" s="53"/>
      <c r="BT977" s="53"/>
      <c r="BU977" s="53"/>
      <c r="BV977" s="53"/>
      <c r="BW977" s="53"/>
      <c r="BX977" s="53"/>
      <c r="BY977" s="53"/>
      <c r="BZ977" s="53"/>
      <c r="CA977" s="53"/>
      <c r="CB977" s="53"/>
      <c r="CC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  <c r="BS978" s="53"/>
      <c r="BT978" s="53"/>
      <c r="BU978" s="53"/>
      <c r="BV978" s="53"/>
      <c r="BW978" s="53"/>
      <c r="BX978" s="53"/>
      <c r="BY978" s="53"/>
      <c r="BZ978" s="53"/>
      <c r="CA978" s="53"/>
      <c r="CB978" s="53"/>
      <c r="CC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  <c r="BS979" s="53"/>
      <c r="BT979" s="53"/>
      <c r="BU979" s="53"/>
      <c r="BV979" s="53"/>
      <c r="BW979" s="53"/>
      <c r="BX979" s="53"/>
      <c r="BY979" s="53"/>
      <c r="BZ979" s="53"/>
      <c r="CA979" s="53"/>
      <c r="CB979" s="53"/>
      <c r="CC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  <c r="BS980" s="53"/>
      <c r="BT980" s="53"/>
      <c r="BU980" s="53"/>
      <c r="BV980" s="53"/>
      <c r="BW980" s="53"/>
      <c r="BX980" s="53"/>
      <c r="BY980" s="53"/>
      <c r="BZ980" s="53"/>
      <c r="CA980" s="53"/>
      <c r="CB980" s="53"/>
      <c r="CC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  <c r="BS981" s="53"/>
      <c r="BT981" s="53"/>
      <c r="BU981" s="53"/>
      <c r="BV981" s="53"/>
      <c r="BW981" s="53"/>
      <c r="BX981" s="53"/>
      <c r="BY981" s="53"/>
      <c r="BZ981" s="53"/>
      <c r="CA981" s="53"/>
      <c r="CB981" s="53"/>
      <c r="CC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  <c r="BS982" s="53"/>
      <c r="BT982" s="53"/>
      <c r="BU982" s="53"/>
      <c r="BV982" s="53"/>
      <c r="BW982" s="53"/>
      <c r="BX982" s="53"/>
      <c r="BY982" s="53"/>
      <c r="BZ982" s="53"/>
      <c r="CA982" s="53"/>
      <c r="CB982" s="53"/>
      <c r="CC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  <c r="BS983" s="53"/>
      <c r="BT983" s="53"/>
      <c r="BU983" s="53"/>
      <c r="BV983" s="53"/>
      <c r="BW983" s="53"/>
      <c r="BX983" s="53"/>
      <c r="BY983" s="53"/>
      <c r="BZ983" s="53"/>
      <c r="CA983" s="53"/>
      <c r="CB983" s="53"/>
      <c r="CC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  <c r="BS984" s="53"/>
      <c r="BT984" s="53"/>
      <c r="BU984" s="53"/>
      <c r="BV984" s="53"/>
      <c r="BW984" s="53"/>
      <c r="BX984" s="53"/>
      <c r="BY984" s="53"/>
      <c r="BZ984" s="53"/>
      <c r="CA984" s="53"/>
      <c r="CB984" s="53"/>
      <c r="CC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  <c r="BS985" s="53"/>
      <c r="BT985" s="53"/>
      <c r="BU985" s="53"/>
      <c r="BV985" s="53"/>
      <c r="BW985" s="53"/>
      <c r="BX985" s="53"/>
      <c r="BY985" s="53"/>
      <c r="BZ985" s="53"/>
      <c r="CA985" s="53"/>
      <c r="CB985" s="53"/>
      <c r="CC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  <c r="BS986" s="53"/>
      <c r="BT986" s="53"/>
      <c r="BU986" s="53"/>
      <c r="BV986" s="53"/>
      <c r="BW986" s="53"/>
      <c r="BX986" s="53"/>
      <c r="BY986" s="53"/>
      <c r="BZ986" s="53"/>
      <c r="CA986" s="53"/>
      <c r="CB986" s="53"/>
      <c r="CC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  <c r="BS987" s="53"/>
      <c r="BT987" s="53"/>
      <c r="BU987" s="53"/>
      <c r="BV987" s="53"/>
      <c r="BW987" s="53"/>
      <c r="BX987" s="53"/>
      <c r="BY987" s="53"/>
      <c r="BZ987" s="53"/>
      <c r="CA987" s="53"/>
      <c r="CB987" s="53"/>
      <c r="CC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  <c r="BS988" s="53"/>
      <c r="BT988" s="53"/>
      <c r="BU988" s="53"/>
      <c r="BV988" s="53"/>
      <c r="BW988" s="53"/>
      <c r="BX988" s="53"/>
      <c r="BY988" s="53"/>
      <c r="BZ988" s="53"/>
      <c r="CA988" s="53"/>
      <c r="CB988" s="53"/>
      <c r="CC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  <c r="BS989" s="53"/>
      <c r="BT989" s="53"/>
      <c r="BU989" s="53"/>
      <c r="BV989" s="53"/>
      <c r="BW989" s="53"/>
      <c r="BX989" s="53"/>
      <c r="BY989" s="53"/>
      <c r="BZ989" s="53"/>
      <c r="CA989" s="53"/>
      <c r="CB989" s="53"/>
      <c r="CC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  <c r="BS990" s="53"/>
      <c r="BT990" s="53"/>
      <c r="BU990" s="53"/>
      <c r="BV990" s="53"/>
      <c r="BW990" s="53"/>
      <c r="BX990" s="53"/>
      <c r="BY990" s="53"/>
      <c r="BZ990" s="53"/>
      <c r="CA990" s="53"/>
      <c r="CB990" s="53"/>
      <c r="CC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  <c r="BS991" s="53"/>
      <c r="BT991" s="53"/>
      <c r="BU991" s="53"/>
      <c r="BV991" s="53"/>
      <c r="BW991" s="53"/>
      <c r="BX991" s="53"/>
      <c r="BY991" s="53"/>
      <c r="BZ991" s="53"/>
      <c r="CA991" s="53"/>
      <c r="CB991" s="53"/>
      <c r="CC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  <c r="BS992" s="53"/>
      <c r="BT992" s="53"/>
      <c r="BU992" s="53"/>
      <c r="BV992" s="53"/>
      <c r="BW992" s="53"/>
      <c r="BX992" s="53"/>
      <c r="BY992" s="53"/>
      <c r="BZ992" s="53"/>
      <c r="CA992" s="53"/>
      <c r="CB992" s="53"/>
      <c r="CC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  <c r="BS993" s="53"/>
      <c r="BT993" s="53"/>
      <c r="BU993" s="53"/>
      <c r="BV993" s="53"/>
      <c r="BW993" s="53"/>
      <c r="BX993" s="53"/>
      <c r="BY993" s="53"/>
      <c r="BZ993" s="53"/>
      <c r="CA993" s="53"/>
      <c r="CB993" s="53"/>
      <c r="CC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  <c r="BS994" s="53"/>
      <c r="BT994" s="53"/>
      <c r="BU994" s="53"/>
      <c r="BV994" s="53"/>
      <c r="BW994" s="53"/>
      <c r="BX994" s="53"/>
      <c r="BY994" s="53"/>
      <c r="BZ994" s="53"/>
      <c r="CA994" s="53"/>
      <c r="CB994" s="53"/>
      <c r="CC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  <c r="BS995" s="53"/>
      <c r="BT995" s="53"/>
      <c r="BU995" s="53"/>
      <c r="BV995" s="53"/>
      <c r="BW995" s="53"/>
      <c r="BX995" s="53"/>
      <c r="BY995" s="53"/>
      <c r="BZ995" s="53"/>
      <c r="CA995" s="53"/>
      <c r="CB995" s="53"/>
      <c r="CC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  <c r="BS996" s="53"/>
      <c r="BT996" s="53"/>
      <c r="BU996" s="53"/>
      <c r="BV996" s="53"/>
      <c r="BW996" s="53"/>
      <c r="BX996" s="53"/>
      <c r="BY996" s="53"/>
      <c r="BZ996" s="53"/>
      <c r="CA996" s="53"/>
      <c r="CB996" s="53"/>
      <c r="CC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/>
      <c r="BR997" s="53"/>
      <c r="BS997" s="53"/>
      <c r="BT997" s="53"/>
      <c r="BU997" s="53"/>
      <c r="BV997" s="53"/>
      <c r="BW997" s="53"/>
      <c r="BX997" s="53"/>
      <c r="BY997" s="53"/>
      <c r="BZ997" s="53"/>
      <c r="CA997" s="53"/>
      <c r="CB997" s="53"/>
      <c r="CC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/>
      <c r="BR998" s="53"/>
      <c r="BS998" s="53"/>
      <c r="BT998" s="53"/>
      <c r="BU998" s="53"/>
      <c r="BV998" s="53"/>
      <c r="BW998" s="53"/>
      <c r="BX998" s="53"/>
      <c r="BY998" s="53"/>
      <c r="BZ998" s="53"/>
      <c r="CA998" s="53"/>
      <c r="CB998" s="53"/>
      <c r="CC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  <c r="BS999" s="53"/>
      <c r="BT999" s="53"/>
      <c r="BU999" s="53"/>
      <c r="BV999" s="53"/>
      <c r="BW999" s="53"/>
      <c r="BX999" s="53"/>
      <c r="BY999" s="53"/>
      <c r="BZ999" s="53"/>
      <c r="CA999" s="53"/>
      <c r="CB999" s="53"/>
      <c r="CC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/>
      <c r="BR1000" s="53"/>
      <c r="BS1000" s="53"/>
      <c r="BT1000" s="53"/>
      <c r="BU1000" s="53"/>
      <c r="BV1000" s="53"/>
      <c r="BW1000" s="53"/>
      <c r="BX1000" s="53"/>
      <c r="BY1000" s="53"/>
      <c r="BZ1000" s="53"/>
      <c r="CA1000" s="53"/>
      <c r="CB1000" s="53"/>
      <c r="CC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  <c r="BC1001" s="53"/>
      <c r="BD1001" s="53"/>
      <c r="BE1001" s="53"/>
      <c r="BF1001" s="53"/>
      <c r="BG1001" s="53"/>
      <c r="BH1001" s="53"/>
      <c r="BI1001" s="53"/>
      <c r="BJ1001" s="53"/>
      <c r="BK1001" s="53"/>
      <c r="BL1001" s="53"/>
      <c r="BM1001" s="53"/>
      <c r="BN1001" s="53"/>
      <c r="BO1001" s="53"/>
      <c r="BP1001" s="53"/>
      <c r="BQ1001" s="53"/>
      <c r="BR1001" s="53"/>
      <c r="BS1001" s="53"/>
      <c r="BT1001" s="53"/>
      <c r="BU1001" s="53"/>
      <c r="BV1001" s="53"/>
      <c r="BW1001" s="53"/>
      <c r="BX1001" s="53"/>
      <c r="BY1001" s="53"/>
      <c r="BZ1001" s="53"/>
      <c r="CA1001" s="53"/>
      <c r="CB1001" s="53"/>
      <c r="CC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  <c r="BC1002" s="53"/>
      <c r="BD1002" s="53"/>
      <c r="BE1002" s="53"/>
      <c r="BF1002" s="53"/>
      <c r="BG1002" s="53"/>
      <c r="BH1002" s="53"/>
      <c r="BI1002" s="53"/>
      <c r="BJ1002" s="53"/>
      <c r="BK1002" s="53"/>
      <c r="BL1002" s="53"/>
      <c r="BM1002" s="53"/>
      <c r="BN1002" s="53"/>
      <c r="BO1002" s="53"/>
      <c r="BP1002" s="53"/>
      <c r="BQ1002" s="53"/>
      <c r="BR1002" s="53"/>
      <c r="BS1002" s="53"/>
      <c r="BT1002" s="53"/>
      <c r="BU1002" s="53"/>
      <c r="BV1002" s="53"/>
      <c r="BW1002" s="53"/>
      <c r="BX1002" s="53"/>
      <c r="BY1002" s="53"/>
      <c r="BZ1002" s="53"/>
      <c r="CA1002" s="53"/>
      <c r="CB1002" s="53"/>
      <c r="CC1002" s="53"/>
    </row>
  </sheetData>
  <mergeCells count="19">
    <mergeCell ref="C3:E3"/>
    <mergeCell ref="F3:H3"/>
    <mergeCell ref="I3:K3"/>
    <mergeCell ref="L3:N3"/>
    <mergeCell ref="O3:Q3"/>
    <mergeCell ref="R3:T3"/>
    <mergeCell ref="U3:W3"/>
    <mergeCell ref="AS3:AU3"/>
    <mergeCell ref="AV3:AX3"/>
    <mergeCell ref="AY3:BA3"/>
    <mergeCell ref="BB3:BD3"/>
    <mergeCell ref="BE3:BG3"/>
    <mergeCell ref="X3:Z3"/>
    <mergeCell ref="AA3:AC3"/>
    <mergeCell ref="AD3:AF3"/>
    <mergeCell ref="AG3:AI3"/>
    <mergeCell ref="AJ3:AL3"/>
    <mergeCell ref="AM3:AO3"/>
    <mergeCell ref="AP3:AR3"/>
  </mergeCells>
  <drawing r:id="rId1"/>
</worksheet>
</file>